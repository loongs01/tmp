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UAT测试计划" sheetId="2" r:id="rId5"/>
    <sheet name="角色清单" sheetId="3" r:id="rId6"/>
    <sheet name="测试人员清单" sheetId="4" r:id="rId7"/>
    <sheet name="表单权限" sheetId="5" r:id="rId8"/>
    <sheet name="测试问题清单" sheetId="6" r:id="rId9"/>
    <sheet name="【历史数据清理】手工业绩" sheetId="7" r:id="rId10"/>
    <sheet name="【历史数据清理】业绩分配" sheetId="8" r:id="rId11"/>
    <sheet name="【历史数据清理】子客业绩" sheetId="9" r:id="rId12"/>
    <sheet name="权限架构" sheetId="10" r:id="rId13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<sst xmlns="http://schemas.openxmlformats.org/spreadsheetml/2006/main" count="42" uniqueCount="42">
  <si>
    <t xml:space="preserve">  </t>
  </si>
  <si>
    <t/>
    <r>
      <t>收集测试用户清单：</t>
    </r>
    <r>
      <rPr>
        <u/>
        <sz val="9.75"/>
        <color theme="10"/>
        <rFont val="Calibri"/>
        <family val="2"/>
      </rPr>
      <t>测试人员清单</t>
    </r>
  </si>
  <si>
    <t/>
    <r>
      <rPr>
        <b/>
        <sz val="9.75"/>
        <color rgb="FF000000"/>
        <rFont val="Calibri"/>
        <family val="2"/>
      </rPr>
      <t xml:space="preserve">测试人员-销服运营：
</t>
    </r>
    <r>
      <rPr>
        <sz val="9.75"/>
        <color rgb="FF000000"/>
        <rFont val="Calibri"/>
        <family val="2"/>
      </rPr>
      <t xml:space="preserve">国内：雷慧丹、王玉娟
国际：陈益萍
文创：黄丹梅</t>
    </r>
  </si>
  <si>
    <t/>
    <r>
      <rPr>
        <b/>
        <sz val="9.75"/>
        <color rgb="FF000000"/>
        <rFont val="Calibri"/>
        <family val="2"/>
      </rPr>
      <t>组织及检查人员-财经运营：</t>
    </r>
    <r>
      <rPr>
        <sz val="9.75"/>
        <color rgb="FF000000"/>
        <rFont val="Calibri"/>
        <family val="2"/>
      </rPr>
      <t xml:space="preserve">杨磊、张可
</t>
    </r>
    <r>
      <rPr>
        <b/>
        <sz val="9.75"/>
        <color rgb="FF000000"/>
        <rFont val="Calibri"/>
        <family val="2"/>
      </rPr>
      <t xml:space="preserve">测试人员-子公司财经运营：
</t>
    </r>
    <r>
      <rPr>
        <sz val="9.75"/>
        <color rgb="FF000000"/>
        <rFont val="Calibri"/>
        <family val="2"/>
      </rPr>
      <t xml:space="preserve">雷迪奥：张玲
爱加：李金荣
柏年：曹敬敬
康利：王臻
北斗星：梁浪平
Trans.Lux：张可</t>
    </r>
  </si>
  <si>
    <t/>
    <r>
      <rPr>
        <sz val="9.75"/>
        <color rgb="FF000000"/>
        <rFont val="Calibri"/>
        <family val="2"/>
      </rPr>
      <t xml:space="preserve">组织及检查人员-销服运营：
国内：雷慧丹、王玉娟、</t>
    </r>
    <r>
      <rPr>
        <sz val="9.75"/>
        <color rgb="FFF54A45"/>
        <rFont val="Calibri"/>
        <family val="2"/>
      </rPr>
      <t xml:space="preserve">林玉婷、黄嘉嘉、田丽
</t>
    </r>
    <r>
      <rPr>
        <sz val="9.75"/>
        <color rgb="FF000000"/>
        <rFont val="Calibri"/>
        <family val="2"/>
      </rPr>
      <t>国际：陈益萍、</t>
    </r>
    <r>
      <rPr>
        <sz val="9.75"/>
        <color rgb="FFF54A45"/>
        <rFont val="Calibri"/>
        <family val="2"/>
      </rPr>
      <t xml:space="preserve">陈姣、杨静丹、黄燕珍
</t>
    </r>
    <r>
      <rPr>
        <sz val="9.75"/>
        <color rgb="FF000000"/>
        <rFont val="Calibri"/>
        <family val="2"/>
      </rPr>
      <t>文创：黄丹梅</t>
    </r>
  </si>
  <si>
    <t/>
    <r>
      <rPr>
        <sz val="9.75"/>
        <color rgb="FF000000"/>
        <rFont val="Calibri"/>
        <family val="2"/>
      </rPr>
      <t>销服FIBP：杜茜、杨美琴、</t>
    </r>
    <r>
      <rPr>
        <sz val="9.75"/>
        <color rgb="FFF54A45"/>
        <rFont val="Calibri"/>
        <family val="2"/>
      </rPr>
      <t>杨嘉建、邓晖蓉、周亦涛</t>
    </r>
  </si>
  <si>
    <t/>
    <r>
      <rPr>
        <b/>
        <sz val="9.75"/>
        <color rgb="FF1F2329"/>
        <rFont val="Calibri"/>
        <family val="2"/>
      </rPr>
      <t xml:space="preserve">标准报价业务刷新场景：当前需要对固装产品线的某整机产品进行价格更新
初始化数据准备（T）
1. PBI已经将要刷新的产品信息同步至数据中台
2. PLM已经将要刷新的产品标准BOM信息同步至数据中台
3. SAP已将要刷新产品的材料价格同步至数据中台
4. 按产品系列维护的制费率基线
5. 按产品损耗率和委外成本（若有）
6. 按产品族维护的分摊费用比例
7. 按产品维护的产品制费
系统操作(按小时更新)（无需调整时，默认使用上次历史数据测算）
1. 财务按产品系列调整制费率基线
2. 计划部维护该产品所属Offering的次月供货比例
3. 固装产品线成本工程师调整产品损耗率和委外成本（若有）
4. FIBP按产品族调整分摊费用比例
5. 固装产品线成本工程师调整产品制费率
</t>
    </r>
    <r>
      <rPr>
        <b/>
        <sz val="9.75"/>
        <color rgb="FFF54A45"/>
        <rFont val="Calibri"/>
        <family val="2"/>
      </rPr>
      <t xml:space="preserve">6. 固装成本工程师按照测算出的基准价维护调整值
7. 商设根据测基准价+调整值，维护市场价和毛利系数
</t>
    </r>
    <r>
      <rPr>
        <b/>
        <sz val="9.75"/>
        <color rgb="FF1F2329"/>
        <rFont val="Calibri"/>
        <family val="2"/>
      </rPr>
      <t xml:space="preserve">8.  CPQ获取刷新后价格</t>
    </r>
  </si>
  <si>
    <t/>
    <r>
      <rPr>
        <sz val="9.75"/>
        <color rgb="FF000000"/>
        <rFont val="Calibri"/>
        <family val="2"/>
      </rPr>
      <t xml:space="preserve">UAT测试-数据集成
</t>
    </r>
    <r>
      <rPr>
        <b/>
        <sz val="9.75"/>
        <color rgb="FFF54A45"/>
        <rFont val="Calibri"/>
        <family val="2"/>
      </rPr>
      <t>(目前数据中台已对接18个系统，集成数据208项；此处仅列示需要联调测试的，其他未列示项已联调测试通过)</t>
    </r>
  </si>
  <si>
    <t/>
    <r>
      <rPr>
        <u/>
        <sz val="10.5"/>
        <color theme="10"/>
        <rFont val="Calibri"/>
        <family val="2"/>
      </rPr>
      <t>http://bi.unilumin.cn:8050/webroot/decision/view/report?viewlet=Unilumin%252F%25E6%2595%25B0%25E6%258D%25AE%25E4%25B8%25AD%25E5%258F%25B0%252F%25E5%25A1%25AB%25E6%258A%25A5%252F%25E6%258C%2587%25E6%25A0%2587%252F%25E6%258C%2587%25E6%25A0%2587%25E5%25BD%2595%25E5%2585%25A5%25E8%25A1%25A8_%25E5%25AD%25A3%25E5%25BA%25A6%25E6%2594%25B6%25E5%2585%25A5%25E9%25A2%2584%25E4%25BC%25B0%25E8%25A1%25A5%25E5%25BD%2595%25E8%25A1%25A8.cpt&amp;ref_t=design&amp;op=write&amp;ref_c=13e7a776-8196-4b96-9a5a-93bb8032260a</t>
    </r>
  </si>
  <si>
    <t/>
    <r>
      <rPr>
        <u/>
        <color theme="10"/>
      </rPr>
      <t>http://bi.unilumin.cn:8050/webroot/decision/view/report?viewlet=Unilumin%252F%25E6%2595%25B0%25E6%258D%25AE%25E4%25B8%25AD%25E5%258F%25B0%252F%25E5%25A1%25AB%25E6%258A%25A5%252F%25E6%258C%2587%25E6%25A0%2587%252F%25E6%258C%2587%25E6%25A0%2587%25E5%25BD%2595%25E5%2585%25A5%25E8%25A1%25A8_%25E5%25AD%2590%25E5%2585%25AC%25E5%258F%25B8%25E7%259B%25AE%25E6%25A0%2587%25E6%2595%25B0%25E6%258D%25AE%25E8%25A1%25A5%25E5%25BD%2595%25E8%25A1%25A8.cpt&amp;ref_t=design&amp;op=write&amp;ref_c=13e7a776-8196-4b96-9a5a-93bb8032260a</t>
    </r>
  </si>
  <si>
    <t/>
    <r>
      <rPr>
        <u/>
        <sz val="10.5"/>
        <color theme="10"/>
        <rFont val="Calibri"/>
        <family val="2"/>
      </rPr>
      <t>http://bi.unilumin.cn:8050/webroot/decision/view/report?viewlet=Unilumin%252F%25E6%2595%25B0%25E6%258D%25AE%25E4%25B8%25AD%25E5%258F%25B0%252F%25E5%25A1%25AB%25E6%258A%25A5%252F%25E6%258C%2587%25E6%25A0%2587%252F%25E6%258C%2587%25E6%25A0%2587%25E5%25BD%2595%25E5%2585%25A5%25E8%25A1%25A8_%25E5%25AD%2590%25E5%2585%25AC%25E5%258F%25B8%25E5%25AE%259E%25E9%2599%2585%25E6%2595%25B0%25E6%258D%25AE%25E8%25A1%25A5%25E5%25BD%2595%25E8%25A1%25A8.cpt&amp;ref_t=design&amp;op=write&amp;ref_c=13e7a776-8196-4b96-9a5a-93bb8032260a</t>
    </r>
  </si>
  <si>
    <t/>
    <r>
      <rPr>
        <u/>
        <sz val="10.5"/>
        <color theme="10"/>
        <rFont val="Calibri"/>
        <family val="2"/>
      </rPr>
      <t>http://bi.unilumin.cn:8050/webroot/decision/view/report?op=write&amp;ref_c=6742704c-79d8-4a38-8ea9-d5d017b87ecf&amp;viewlet=Unilumin%252F%25E6%2595%25B0%25E6%258D%25AE%25E4%25B8%25AD%25E5%258F%25B0%252F%25E5%2588%2586%25E6%259E%2590%252F%25E6%258C%2587%25E6%25A0%2587%252F%25E9%259B%2586%25E5%259B%25A2%25E5%2591%25A8%25E6%258A%25A5.cpt&amp;ref_t=design</t>
    </r>
  </si>
  <si>
    <t/>
    <r>
      <rPr>
        <u/>
        <sz val="10.5"/>
        <color theme="10"/>
        <rFont val="Calibri"/>
        <family val="2"/>
      </rPr>
      <t>http://bi.unilumin.cn:8050/webroot/decision/view/report?viewlet=Unilumin%252F%25E6%2595%25B0%25E6%258D%25AE%25E4%25B8%25AD%25E5%258F%25B0%252F%25E5%2588%2586%25E6%259E%2590%252F%25E6%258C%2587%25E6%25A0%2587%252F%25E5%25B1%2595%25E7%25A4%25BA%25E8%25A1%25A8_%25E9%2594%2580%25E6%259C%258D%25E8%25BF%2590%25E8%2590%25A5%25E5%2591%25A8%25E6%258A%25A5.cpt&amp;ref_t=design&amp;op=view&amp;ref_c=5a173c92-0bc3-4eaf-a0ae-9931d91d9fbd</t>
    </r>
  </si>
  <si>
    <t/>
    <r>
      <rPr>
        <u/>
        <sz val="10.5"/>
        <color theme="10"/>
        <rFont val="Calibri"/>
        <family val="2"/>
      </rPr>
      <t>http://bi.unilumin.cn:8050/webroot/decision/view/report?viewlet=Unilumin%252F%25E6%2595%25B0%25E6%258D%25AE%25E4%25B8%25AD%25E5%258F%25B0%252F%25E5%2588%2586%25E6%259E%2590%252F%25E6%258C%2587%25E6%25A0%2587%252F%25E5%25B1%2595%25E7%25A4%25BA%25E8%25A1%25A8_%25E9%2594%2580%25E6%259C%258D%25E8%25BF%2590%25E8%2590%25A5%25E5%2591%25A8%25E6%258A%25A5-%25E6%2595%25B4%25E4%25BD%2593-%25E4%25BA%25A7%25E5%2593%2581%25E7%25BA%25BF.cpt&amp;ref_t=design&amp;op=view&amp;ref_c=5a173c92-0bc3-4eaf-a0ae-9931d91d9fbd</t>
    </r>
  </si>
  <si>
    <t/>
    <r>
      <rPr>
        <u/>
        <sz val="10.5"/>
        <color theme="10"/>
        <rFont val="Calibri"/>
        <family val="2"/>
      </rPr>
      <t>http://bi.unilumin.cn:8050/webroot/decision/view/report?viewlet=Unilumin%252F%25E6%2595%25B0%25E6%258D%25AE%25E4%25B8%25AD%25E5%258F%25B0%252F%25E5%2588%2586%25E6%259E%2590%252F%25E6%258C%2587%25E6%25A0%2587%252F%25E5%25B1%2595%25E7%25A4%25BA%25E8%25A1%25A8_%25E9%2594%2580%25E6%259C%258D%25E8%25BF%2590%25E8%2590%25A5%25E5%2591%25A8%25E6%258A%25A5-%25E5%25A4%25A7%25E5%258C%25BA.cpt&amp;ref_t=design&amp;op=view&amp;ref_c=5a173c92-0bc3-4eaf-a0ae-9931d91d9fbd</t>
    </r>
  </si>
  <si>
    <t/>
    <r>
      <rPr>
        <u/>
        <sz val="10.5"/>
        <color theme="10"/>
        <rFont val="Calibri"/>
        <family val="2"/>
      </rPr>
      <t>http://bi.unilumin.cn:8050/webroot/decision/view/report?viewlet=Unilumin%252F%25E6%2595%25B0%25E6%258D%25AE%25E4%25B8%25AD%25E5%258F%25B0%252F%25E5%2588%2586%25E6%259E%2590%252F%25E6%258C%2587%25E6%25A0%2587%252F%25E5%25B1%2595%25E7%25A4%25BA%25E8%25A1%25A8_%25E9%2594%2580%25E6%259C%258D%25E8%25BF%2590%25E8%2590%25A5%25E5%2591%25A8%25E6%258A%25A5-%25E5%25A4%25A7%25E5%258C%25BA-%25E4%25B8%259A%25E5%258A%25A1%25E4%25BA%25A7%25E5%2593%2581%25E7%25BA%25BF.cpt&amp;ref_t=design&amp;op=write&amp;ref_c=5a173c92-0bc3-4eaf-a0ae-9931d91d9fbd</t>
    </r>
  </si>
  <si>
    <t/>
    <r>
      <rPr>
        <u/>
        <sz val="9.75"/>
        <color theme="10"/>
        <rFont val="Calibri"/>
        <family val="2"/>
      </rPr>
      <t>http://10.2.8.33/pub/pro/mdmdm/homdm-saas/mdm-report/list</t>
    </r>
  </si>
  <si>
    <t/>
    <r>
      <rPr>
        <u/>
        <sz val="9.75"/>
        <color theme="10"/>
        <rFont val="Calibri"/>
        <family val="2"/>
      </rPr>
      <t>http://bi.unilumin.cn:8050/webroot/decision/view/report?viewlet=Unilumin%252F%25E6%2595%25B0%25E6%258D%25AE%25E4%25B8%25AD%25E5%258F%25B0%252F%25E5%25A1%25AB%25E6%258A%25A5%252F%25E4%25B8%25BB%25E6%2595%25B0%25E6%258D%25AE%252F%25E4%25B8%25BB%25E6%2595%25B0%25E6%258D%25AE-%25E5%2590%2584%25E7%25B3%25BB%25E7%25BB%259F%25E8%25B4%25A6%25E5%258F%25B7%25E4%25BF%25A1%25E6%2581%25AF%25E5%25A1%25AB%25E6%258A%25A5%25E8%25A1%25A8.cpt&amp;ref_t=design&amp;op=write&amp;ref_c=8ed7ad83-d91f-4040-8378-bdfbe69c0059</t>
    </r>
  </si>
  <si>
    <t/>
    <r>
      <rPr>
        <u/>
        <sz val="10.5"/>
        <color theme="10"/>
        <rFont val="Calibri"/>
        <family val="2"/>
      </rPr>
      <t>http://bi.unilumin.cn:8050/webroot/decision/view/report?viewlet=Unilumin%252F%25E6%2595%25B0%25E6%258D%25AE%25E4%25B8%25AD%25E5%258F%25B0%252F%25E5%25A1%25AB%25E6%258A%25A5%252F%25E6%258C%2587%25E6%25A0%2587%252F%25E6%258C%2587%25E6%25A0%2587%25E5%25BD%2595%25E5%2585%25A5%25E8%25A1%25A8_%25E5%25B9%25B4%25E5%25BA%25A6%25E7%259B%25AE%25E6%25A0%2587%25E5%25BD%2595%25E5%2585%25A5%25E8%25A1%25A8.cpt&amp;ref_t=design&amp;op=write&amp;ref_c=13e7a776-8196-4b96-9a5a-93bb8032260a</t>
    </r>
  </si>
  <si>
    <t/>
    <r>
      <rPr>
        <u/>
        <sz val="9.75"/>
        <color theme="10"/>
        <rFont val="Calibri"/>
        <family val="2"/>
      </rPr>
      <t>http://bi.unilumin.cn:8050/webroot/decision/view/report?viewlet=Unilumin%252F%25E6%2595%25B0%25E6%258D%25AE%25E4%25B8%25AD%25E5%258F%25B0%252F%25E5%2588%2586%25E6%259E%2590%252F%25E6%258C%2587%25E6%25A0%2587%252F%25E6%258C%2587%25E6%25A0%2587%25E5%25B1%2595%25E7%25A4%25BA%25E8%25A1%25A8_%25E5%25B9%25B4%25E5%25BA%25A6%25E7%259B%25AE%25E6%25A0%2587%25E6%25BB%259A%25E5%258A%25A8%25E8%25AE%25A1%25E7%25AE%2597%25E8%25A1%25A8.cpt&amp;ref_t=design&amp;op=write&amp;ref_c=13e7a776-8196-4b96-9a5a-93bb8032260a</t>
    </r>
  </si>
  <si>
    <t/>
    <r>
      <rPr>
        <u/>
        <sz val="10.5"/>
        <color theme="10"/>
        <rFont val="Calibri"/>
        <family val="2"/>
      </rPr>
      <t>http://bi.unilumin.cn:8050/webroot/decision/view/report?viewlet=Unilumin%252F%25E6%2595%25B0%25E6%258D%25AE%25E4%25B8%25AD%25E5%258F%25B0%252F%25E5%25A1%25AB%25E6%258A%25A5%252F%25E6%258C%2587%25E6%25A0%2587%252F%25E6%258C%2587%25E6%25A0%2587%25E5%25BD%2595%25E5%2585%25A5%25E8%25A1%25A8_%25E6%259C%2588%25E5%25BA%25A6%25E4%25BF%259D%25E5%25BA%2595%25E7%259B%25AE%25E6%25A0%2587%25E5%25BD%2595%25E5%2585%25A5%25E8%25A1%25A8.cpt&amp;ref_t=design&amp;op=write&amp;ref_c=6742704c-79d8-4a38-8ea9-d5d017b87ecf</t>
    </r>
  </si>
  <si>
    <t/>
    <r>
      <rPr>
        <u/>
        <sz val="10.5"/>
        <color theme="10"/>
        <rFont val="Calibri"/>
        <family val="2"/>
      </rPr>
      <t>http://bi.unilumin.cn:8050/webroot/decision/view/report?viewlet=Unilumin%252F%25E6%2595%25B0%25E6%258D%25AE%25E4%25B8%25AD%25E5%258F%25B0%252F%25E5%25A1%25AB%25E6%258A%25A5%252F%25E6%258C%2587%25E6%25A0%2587%252F%25E6%258C%2587%25E6%25A0%2587%25E5%25BD%2595%25E5%2585%25A5%25E8%25A1%25A8_%25E5%2591%25A8%25E8%25AE%25A1%25E5%2588%2592%25E5%25BD%2595%25E5%2585%25A5%25E8%25A1%25A8.cpt&amp;ref_t=design&amp;op=write&amp;ref_c=13e7a776-8196-4b96-9a5a-93bb8032260a</t>
    </r>
  </si>
  <si>
    <t/>
    <r>
      <rPr>
        <u/>
        <sz val="10.5"/>
        <color theme="10"/>
        <rFont val="Calibri"/>
        <family val="2"/>
      </rPr>
      <t>http://bi.unilumin.cn:8050/webroot/decision/view/report?viewlet=Unilumin%252F%25E6%2595%25B0%25E6%258D%25AE%25E4%25B8%25AD%25E5%258F%25B0%252F%25E5%25A1%25AB%25E6%258A%25A5%252F%25E6%258C%2587%25E6%25A0%2587%252F%25E6%258C%2587%25E6%25A0%2587%25E5%25BD%2595%25E5%2585%25A5%25E8%25A1%25A8_%25E6%2589%258B%25E5%25B7%25A5%25E4%25B8%259A%25E7%25BB%25A9%25E5%25BD%2595%25E5%2585%25A5%25E8%25A1%25A8.cpt&amp;ref_t=design&amp;op=write&amp;ref_c=13e7a776-8196-4b96-9a5a-93bb8032260a</t>
    </r>
  </si>
  <si>
    <t/>
    <r>
      <rPr>
        <u/>
        <sz val="9.75"/>
        <color theme="10"/>
        <rFont val="Calibri"/>
        <family val="2"/>
      </rPr>
      <t>http://bi.unilumin.cn:8050/webroot/decision/view/report?viewlet=Unilumin%252F%25E6%2595%25B0%25E6%258D%25AE%25E4%25B8%25AD%25E5%258F%25B0%252F%25E5%2588%2586%25E6%259E%2590%252F%25E4%25BA%25A7%25E5%2593%2581%25E6%259C%2580%25E9%25AB%2598%25E6%25B5%258B%25E7%25AE%2597%25E6%2588%2590%25E6%259C%25AC%25E5%25B1%2595%25E7%25A4%25BA%25E8%25A1%25A8.cpt&amp;ref_t=design&amp;ref_c=ca58bd40-9408-4c54-80cb-5eb18e5d5602</t>
    </r>
  </si>
  <si>
    <t/>
    <r>
      <rPr>
        <u/>
        <sz val="9.75"/>
        <color theme="10"/>
        <rFont val="Calibri"/>
        <family val="2"/>
      </rPr>
      <t>http://bi.unilumin.cn:8050/webroot/decision/view/report?viewlet=Unilumin%252F%25E6%2595%25B0%25E6%258D%25AE%25E4%25B8%25AD%25E5%258F%25B0%252F%25E5%2588%2586%25E6%259E%2590%252F%25E4%25BA%25A7%25E5%2593%2581%25E6%25B5%258B%25E7%25AE%2597%25E6%2588%2590%25E6%259C%25AC%25E5%25B1%2595%25E7%25A4%25BA%25E8%25A1%25A8.cpt&amp;ref_t=design&amp;ref_c=ca58bd40-9408-4c54-80cb-5eb18e5d5602</t>
    </r>
  </si>
  <si>
    <t/>
    <r>
      <rPr>
        <u/>
        <sz val="9.75"/>
        <color theme="10"/>
        <rFont val="Calibri"/>
        <family val="2"/>
      </rPr>
      <t>http://bi.unilumin.cn:8050/webroot/decision/view/report?viewlet=Unilumin%252F%25E6%2595%25B0%25E6%258D%25AE%25E4%25B8%25AD%25E5%258F%25B0%252F%25E5%2588%2586%25E6%259E%2590%252F%25E4%25BA%25A7%25E5%2593%2581%25E6%25B5%258B%25E7%25AE%2597%25E6%2588%2590%25E6%259C%25AC%25E6%2598%258E%25E7%25BB%2586%25E8%25A1%25A8-%25E5%258D%2595%25E5%25B1%2582.cpt&amp;ref_t=design&amp;ref_c=ca58bd40-9408-4c54-80cb-5eb18e5d5602</t>
    </r>
  </si>
  <si>
    <t/>
    <r>
      <rPr>
        <u/>
        <sz val="9.75"/>
        <color theme="10"/>
        <rFont val="Calibri"/>
        <family val="2"/>
      </rPr>
      <t>http://bi.unilumin.cn:8050/webroot/decision/view/report?viewlet=Unilumin%252F%25E6%2595%25B0%25E6%258D%25AE%25E4%25B8%25AD%25E5%258F%25B0%252F%25E5%25A1%25AB%25E6%258A%25A5%252F%25E5%259F%25BA%25E5%2587%2586%25E4%25BB%25B7%252F%25E5%2588%2586%25E9%2594%2580%25E6%25A8%25A1%25E7%25BB%2584-%25E5%2588%25B6%25E8%25B4%25B9%25E5%25A1%25AB%25E6%258A%25A5%25E8%25A1%25A8.cpt&amp;ref_t=design&amp;op=write&amp;ref_c=8ed7ad83-d91f-4040-8378-bdfbe69c0059</t>
    </r>
  </si>
  <si>
    <t/>
    <r>
      <rPr>
        <u/>
        <sz val="9.75"/>
        <color theme="10"/>
        <rFont val="Calibri"/>
        <family val="2"/>
      </rPr>
      <t>http://bi.unilumin.cn:8050/webroot/decision/view/report?viewlet=Unilumin%252F%25E6%2595%25B0%25E6%258D%25AE%25E4%25B8%25AD%25E5%258F%25B0%252F%25E5%25A1%25AB%25E6%258A%25A5%252F%25E5%259F%25BA%25E5%2587%2586%25E4%25BB%25B7%252F%25E5%25B7%25A5%25E7%25A8%258B%25E6%259C%258D%25E5%258A%25A1%25E4%25BB%25B7%25E6%25A0%25BC%25E5%25A1%25AB%25E6%258A%25A5%25E8%25A1%25A8.cpt&amp;ref_t=design&amp;op=write&amp;ref_c=8ed7ad83-d91f-4040-8378-bdfbe69c0059</t>
    </r>
  </si>
  <si>
    <t/>
    <r>
      <rPr>
        <u/>
        <sz val="9.75"/>
        <color theme="10"/>
        <rFont val="Calibri"/>
        <family val="2"/>
      </rPr>
      <t>http://bi.unilumin.cn:8050/webroot/decision/view/report?viewlet=Unilumin%252F%25E6%2595%25B0%25E6%258D%25AE%25E4%25B8%25AD%25E5%258F%25B0%252F%25E5%25A1%25AB%25E6%258A%25A5%252F%25E5%259F%25BA%25E5%2587%2586%25E4%25BB%25B7%252F%25E4%25BB%25B7%25E6%25A0%25BC%25E7%25B3%25BB%25E6%2595%25B0%25E4%25B8%258E%25E9%25A2%259D%25E5%25A4%2596%25E8%25B4%25A8%25E4%25BF%259D%25E6%25AF%2594%25E4%25BE%258B%25E5%25A1%25AB%25E6%258A%25A5%25E8%25A1%25A8.cpt&amp;ref_t=design&amp;op=write&amp;ref_c=8ed7ad83-d91f-4040-8378-bdfbe69c0059</t>
    </r>
  </si>
  <si>
    <t/>
    <r>
      <rPr>
        <u/>
        <sz val="9.75"/>
        <color theme="10"/>
        <rFont val="Calibri"/>
        <family val="2"/>
      </rPr>
      <t>http://bi.unilumin.cn:8050/webroot/decision/view/report?viewlet=Unilumin%252F%25E6%2595%25B0%25E6%258D%25AE%25E4%25B8%25AD%25E5%258F%25B0%252F%25E5%25A1%25AB%25E6%258A%25A5%252F%25E5%259F%25BA%25E5%2587%2586%25E4%25BB%25B7%252FSparts%25E5%25B8%2582%25E5%259C%25BA%25E4%25BB%25B7%25E4%25B8%258E%25E7%25B3%25BB%25E6%2595%25B0%25E5%25A1%25AB%25E6%258A%25A5%25E8%25A1%25A8.cpt&amp;ref_t=design&amp;op=write&amp;ref_c=9e96e942-347c-4741-8f14-f56a9460c974</t>
    </r>
  </si>
  <si>
    <t/>
    <r>
      <rPr>
        <u/>
        <sz val="10.5"/>
        <color theme="10"/>
        <rFont val="Calibri"/>
        <family val="2"/>
      </rPr>
      <t>http://bi.unilumin.cn:8050/webroot/decision/view/report?viewlet=Unilumin%252F%25E6%2595%25B0%25E6%258D%25AE%25E4%25B8%25AD%25E5%258F%25B0%252F%25E5%2588%2586%25E6%259E%2590%252F%25E6%258C%2587%25E6%25A0%2587%252F%25E5%25B1%2595%25E7%25A4%25BA%25E8%25A1%25A8_%25E9%2594%2580%25E6%259C%258D%25E8%25BF%2590%25E8%2590%25A5%25E5%2591%25A8%25E6%258A%25A5-%25E5%25A4%25A7%25E5%258C%25BA-%25E6%2588%2598%25E5%258C%25BA.cpt&amp;ref_t=design&amp;op=view&amp;ref_c=5a173c92-0bc3-4eaf-a0ae-9931d91d9fbd</t>
    </r>
  </si>
  <si>
    <t/>
    <r>
      <rPr>
        <u/>
        <sz val="10.5"/>
        <color theme="10"/>
        <rFont val="Calibri"/>
        <family val="2"/>
      </rPr>
      <t>http://bi.unilumin.cn:8050/webroot/decision/view/report?viewlet=Unilumin%252F%25E6%2595%25B0%25E6%258D%25AE%25E4%25B8%25AD%25E5%258F%25B0%252F%25E5%2588%2586%25E6%259E%2590%252F%25E6%258C%2587%25E6%25A0%2587%252F%25E5%25B1%2595%25E7%25A4%25BA%25E8%25A1%25A8_%25E9%2594%2580%25E6%259C%258D%25E8%25BF%2590%25E8%2590%25A5%25E5%2591%25A8%25E6%258A%25A5-%25E5%25A4%25A7%25E5%258C%25BA-%25E6%2588%2598%25E5%258C%25BA-%25E4%25B8%259A%25E5%258A%25A1%25E4%25BA%25A7%25E5%2593%2581%25E7%25BA%25BF.cpt&amp;ref_t=design&amp;op=write&amp;ref_c=5a173c92-0bc3-4eaf-a0ae-9931d91d9fbd</t>
    </r>
  </si>
  <si>
    <t/>
    <r>
      <rPr>
        <u/>
        <sz val="9.75"/>
        <color theme="10"/>
        <rFont val="Calibri"/>
        <family val="2"/>
      </rPr>
      <t>http://bi.unilumin.cn:8050/webroot/decision/view/report?viewlet=Unilumin%252F%25E6%2595%25B0%25E6%258D%25AE%25E4%25B8%25AD%25E5%258F%25B0%252F%25E5%25A1%25AB%25E6%258A%25A5%252F%25E5%259F%25BA%25E5%2587%2586%25E4%25BB%25B7%252F%25E6%258D%259F%25E8%2580%2597%25E7%258E%2587%25E5%25A1%25AB%25E6%258A%25A5%25E8%25A1%25A8.cpt&amp;ref_t=design&amp;op=write&amp;ref_c=8ed7ad83-d91f-4040-8378-bdfbe69c0059</t>
    </r>
  </si>
  <si>
    <t/>
    <r>
      <rPr>
        <u/>
        <sz val="9.75"/>
        <color theme="10"/>
        <rFont val="Calibri"/>
        <family val="2"/>
      </rPr>
      <t>http://bi.unilumin.cn:8050/webroot/decision/view/report?viewlet=Unilumin%252F%25E6%2595%25B0%25E6%258D%25AE%25E4%25B8%25AD%25E5%258F%25B0%252F%25E5%25A1%25AB%25E6%258A%25A5%252F%25E5%259F%25BA%25E5%2587%2586%25E4%25BB%25B7%252F%25E5%2588%25B6%25E8%25B4%25B9%25E7%258E%2587%25E5%259F%25BA%25E7%25BA%25BF%25E5%2580%25BC%25E5%25A1%25AB%25E6%258A%25A5%25E8%25A1%25A8.cpt&amp;ref_t=design&amp;op=write&amp;ref_c=8ed7ad83-d91f-4040-8378-bdfbe69c0059</t>
    </r>
  </si>
  <si>
    <t/>
    <r>
      <rPr>
        <u/>
        <sz val="9.75"/>
        <color theme="10"/>
        <rFont val="Calibri"/>
        <family val="2"/>
      </rPr>
      <t>http://bi.unilumin.cn:8050/webroot/decision/view/report?viewlet=Unilumin%252F%25E6%2595%25B0%25E6%258D%25AE%25E4%25B8%25AD%25E5%258F%25B0%252F%25E5%25A1%25AB%25E6%258A%25A5%252F%25E5%259F%25BA%25E5%2587%2586%25E4%25BB%25B7%252F%25E5%2588%25B6%25E8%25B4%25B9%25E7%258E%2587%25E5%25A1%25AB%25E6%258A%25A5%25E8%25A1%25A8.cpt&amp;ref_t=design&amp;op=write&amp;ref_c=8ed7ad83-d91f-4040-8378-bdfbe69c0059</t>
    </r>
  </si>
  <si>
    <t/>
    <r>
      <rPr>
        <u/>
        <sz val="9.75"/>
        <color theme="10"/>
        <rFont val="Calibri"/>
        <family val="2"/>
      </rPr>
      <t>http://bi.unilumin.cn:8050/webroot/decision/view/report?viewlet=Unilumin%252F%25E6%2595%25B0%25E6%258D%25AE%25E4%25B8%25AD%25E5%258F%25B0%252F%25E5%25A1%25AB%25E6%258A%25A5%252F%25E5%259F%25BA%25E5%2587%2586%25E4%25BB%25B7%252F%25E5%2588%2586%25E6%2591%258A%25E8%25B4%25B9%25E7%2594%25A8%25E6%25AF%2594%25E4%25BE%258B%25E5%25A1%25AB%25E6%258A%25A5%25E8%25A1%25A8.cpt&amp;ref_t=design&amp;op=write&amp;ref_c=8ed7ad83-d91f-4040-8378-bdfbe69c0059</t>
    </r>
  </si>
  <si>
    <t/>
    <r>
      <rPr>
        <u/>
        <sz val="9.75"/>
        <color theme="10"/>
        <rFont val="Calibri"/>
        <family val="2"/>
      </rPr>
      <t>http://bi.unilumin.cn:8050/webroot/decision/view/report?viewlet=Unilumin%252F%25E6%2595%25B0%25E6%258D%25AE%25E4%25B8%25AD%25E5%258F%25B0%252F%25E5%25A1%25AB%25E6%258A%25A5%252F%25E5%259F%25BA%25E5%2587%2586%25E4%25BB%25B7%252F%25E5%25B7%25A5%25E5%258E%2582%25E4%25BE%259B%25E8%25B4%25A7%25E6%25AF%2594%25E4%25BE%258B%25E5%25A1%25AB%25E6%258A%25A5%25E8%25A1%25A8.cpt&amp;ref_t=design&amp;op=write&amp;ref_c=8ed7ad83-d91f-4040-8378-bdfbe69c0059</t>
    </r>
  </si>
  <si>
    <t/>
    <r>
      <rPr>
        <u/>
        <sz val="9.75"/>
        <color theme="10"/>
        <rFont val="Calibri"/>
        <family val="2"/>
      </rPr>
      <t>http://bi.unilumin.cn:8050/webroot/decision/view/report?viewlet=Unilumin%252F%25E6%2595%25B0%25E6%258D%25AE%25E4%25B8%25AD%25E5%258F%25B0%252F%25E5%25A1%25AB%25E6%258A%25A5%252F%25E5%259F%25BA%25E5%2587%2586%25E4%25BB%25B7%252F%25E5%259F%25BA%25E5%2587%2586%25E4%25BB%25B7%25E8%25B0%2583%25E6%2595%25B4%25E5%2580%25BC%25E5%25A1%25AB%25E6%258A%25A5%25E8%25A1%25A8.cpt&amp;ref_t=design&amp;op=write&amp;ref_c=8ed7ad83-d91f-4040-8378-bdfbe69c0059</t>
    </r>
  </si>
  <si>
    <t/>
    <r>
      <t>控制是否可以修改数据：</t>
    </r>
    <r>
      <rPr>
        <b/>
        <sz val="10.5"/>
        <color rgb="FFFF0000"/>
        <rFont val="Calibri"/>
        <family val="2"/>
      </rPr>
      <t>只读/编辑</t>
    </r>
  </si>
  <si>
    <t/>
    <r>
      <rPr>
        <u/>
        <sz val="10.5"/>
        <color theme="10"/>
        <rFont val="Calibri"/>
        <family val="2"/>
      </rPr>
      <t>战区角色</t>
    </r>
  </si>
  <si>
    <t/>
    <r>
      <rPr>
        <u/>
        <sz val="10.5"/>
        <color theme="10"/>
        <rFont val="Calibri"/>
        <family val="2"/>
      </rPr>
      <t>大区角色</t>
    </r>
  </si>
  <si>
    <t/>
    <r>
      <rPr>
        <u/>
        <sz val="10.5"/>
        <color theme="10"/>
        <rFont val="Calibri"/>
        <family val="2"/>
      </rPr>
      <t>总部角色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</si>
</sst>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yyyy/m/d"/>
    <numFmt numFmtId="165" formatCode="#,##0"/>
    <numFmt numFmtId="166" formatCode="@"/>
    <numFmt numFmtId="167" formatCode="#,##0.00"/>
    <numFmt numFmtId="168" formatCode="@"/>
  </numFmts>
  <fonts count="21">
    <font>
      <sz val="10"/>
      <color theme="1"/>
      <name val="Calibri"/>
      <family val="2"/>
      <scheme val="minor"/>
    </font>
    <font>
      <b val="true"/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"/>
      <color rgb="FFF54A45"/>
      <name val="Calibri"/>
      <family val="2"/>
      <scheme val="minor"/>
    </font>
    <font>
      <sz val="9"/>
      <color rgb="FF1F2329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245BDB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b val="true"/>
      <sz val="12"/>
      <color rgb="FF1F2329"/>
      <name val="Calibri"/>
      <family val="2"/>
      <scheme val="minor"/>
    </font>
    <font>
      <b val="true"/>
      <sz val="12"/>
      <color rgb="FFFFFFFF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FF0000"/>
      <name val="Calibri"/>
      <family val="2"/>
      <scheme val="minor"/>
    </font>
    <font>
      <u val="single"/>
      <sz val="10.5"/>
      <color rgb="FF0000EE"/>
      <name val="Calibri"/>
      <family val="2"/>
      <scheme val="minor"/>
    </font>
  </fonts>
  <fills count="3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ACEFD"/>
        <bgColor/>
      </patternFill>
    </fill>
    <fill>
      <patternFill patternType="solid">
        <fgColor rgb="FFDEEBF7"/>
        <bgColor/>
      </patternFill>
    </fill>
    <fill>
      <patternFill patternType="solid">
        <fgColor rgb="FFDEEBF7"/>
        <bgColor/>
      </patternFill>
    </fill>
    <fill>
      <patternFill patternType="solid">
        <fgColor rgb="FFDEEBF7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245BDB"/>
        <bgColor/>
      </patternFill>
    </fill>
    <fill>
      <patternFill patternType="solid">
        <fgColor rgb="FF00B050"/>
        <bgColor/>
      </patternFill>
    </fill>
    <fill>
      <patternFill patternType="solid">
        <fgColor rgb="FF00B050"/>
        <bgColor/>
      </patternFill>
    </fill>
    <fill>
      <patternFill patternType="solid">
        <fgColor rgb="FF00B050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BACEFD"/>
        <bgColor/>
      </patternFill>
    </fill>
    <fill>
      <patternFill patternType="solid">
        <fgColor rgb="FF245BDB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D9F3FD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FFFF00"/>
        <bgColor/>
      </patternFill>
    </fill>
    <fill>
      <patternFill patternType="solid">
        <fgColor rgb="FF9DC3E6"/>
        <bgColor/>
      </patternFill>
    </fill>
    <fill>
      <patternFill patternType="solid">
        <fgColor rgb="FF9DC3E6"/>
        <bgColor/>
      </patternFill>
    </fill>
    <fill>
      <patternFill patternType="solid">
        <fgColor rgb="FFBDD7EE"/>
        <bgColor/>
      </patternFill>
    </fill>
  </fills>
  <borders count="143"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vertical="center"/>
    </xf>
    <xf applyAlignment="true" applyBorder="false" applyFill="false" applyFont="true" applyNumberFormat="false" applyProtection="false" borderId="6" fillId="0" fontId="2" numFmtId="0" xfId="0">
      <alignment vertical="center" wrapText="true"/>
    </xf>
    <xf applyAlignment="true" applyBorder="false" applyFill="false" applyFont="true" applyNumberFormat="false" applyProtection="false" borderId="7" fillId="0" fontId="2" numFmtId="0" xfId="0">
      <alignment vertical="center" wrapText="true"/>
    </xf>
    <xf applyAlignment="true" applyBorder="false" applyFill="false" applyFont="true" applyNumberFormat="false" applyProtection="false" borderId="8" fillId="0" fontId="4" numFmtId="0" xfId="0">
      <alignment vertical="center"/>
    </xf>
    <xf applyAlignment="true" applyBorder="false" applyFill="false" applyFont="true" applyNumberFormat="false" applyProtection="false" borderId="9" fillId="0" fontId="2" numFmtId="0" xfId="0">
      <alignment vertical="center"/>
    </xf>
    <xf applyAlignment="true" applyBorder="false" applyFill="false" applyFont="true" applyNumberFormat="false" applyProtection="false" borderId="10" fillId="0" fontId="2" numFmtId="0" xfId="0">
      <alignment horizontal="left" vertical="center"/>
    </xf>
    <xf applyAlignment="true" applyBorder="false" applyFill="false" applyFont="true" applyNumberFormat="false" applyProtection="false" borderId="11" fillId="0" fontId="4" numFmtId="0" xfId="0">
      <alignment vertical="center" wrapText="true"/>
    </xf>
    <xf applyAlignment="true" applyBorder="false" applyFill="false" applyFont="true" applyNumberFormat="false" applyProtection="false" borderId="12" fillId="0" fontId="2" numFmtId="0" xfId="0">
      <alignment vertical="center" wrapText="true"/>
    </xf>
    <xf applyAlignment="true" applyBorder="false" applyFill="false" applyFont="true" applyNumberFormat="false" applyProtection="false" borderId="13" fillId="0" fontId="2" numFmtId="0" xfId="0">
      <alignment horizontal="center" vertical="center"/>
    </xf>
    <xf applyAlignment="true" applyBorder="false" applyFill="false" applyFont="true" applyNumberFormat="false" applyProtection="false" borderId="14" fillId="0" fontId="2" numFmtId="0" xfId="0">
      <alignment vertical="center" wrapText="true"/>
    </xf>
    <xf applyAlignment="true" applyBorder="false" applyFill="false" applyFont="true" applyNumberFormat="false" applyProtection="false" borderId="15" fillId="0" fontId="3" numFmtId="0" xfId="0">
      <alignment vertical="center"/>
    </xf>
    <xf applyAlignment="true" applyBorder="false" applyFill="false" applyFont="true" applyNumberFormat="false" applyProtection="false" borderId="16" fillId="0" fontId="1" numFmtId="0" xfId="0">
      <alignment vertical="center"/>
    </xf>
    <xf applyAlignment="true" applyBorder="false" applyFill="false" applyFont="true" applyNumberFormat="false" applyProtection="false" borderId="17" fillId="0" fontId="2" numFmtId="0" xfId="0">
      <alignment horizontal="left" vertical="center"/>
    </xf>
    <xf applyAlignment="true" applyBorder="false" applyFill="false" applyFont="true" applyNumberFormat="false" applyProtection="false" borderId="18" fillId="0" fontId="2" numFmtId="0" xfId="0">
      <alignment vertical="center" wrapText="true"/>
    </xf>
    <xf applyAlignment="true" applyBorder="false" applyFill="false" applyFont="true" applyNumberFormat="false" applyProtection="false" borderId="19" fillId="0" fontId="2" numFmtId="0" xfId="0">
      <alignment vertical="center" wrapText="true"/>
    </xf>
    <xf applyAlignment="true" applyBorder="false" applyFill="false" applyFont="true" applyNumberFormat="false" applyProtection="false" borderId="20" fillId="0" fontId="1" numFmtId="0" xfId="0">
      <alignment vertical="center"/>
    </xf>
    <xf applyAlignment="true" applyBorder="false" applyFill="false" applyFont="true" applyNumberFormat="false" applyProtection="false" borderId="21" fillId="0" fontId="1" numFmtId="0" xfId="0">
      <alignment vertical="center"/>
    </xf>
    <xf applyAlignment="true" applyBorder="false" applyFill="false" applyFont="true" applyNumberFormat="false" applyProtection="false" borderId="22" fillId="0" fontId="4" numFmtId="0" xfId="0">
      <alignment horizontal="center" vertical="center" wrapText="true"/>
    </xf>
    <xf applyAlignment="true" applyBorder="false" applyFill="false" applyFont="true" applyNumberFormat="false" applyProtection="false" borderId="23" fillId="0" fontId="1" numFmtId="0" xfId="0">
      <alignment vertical="center"/>
    </xf>
    <xf applyAlignment="true" applyBorder="false" applyFill="false" applyFont="true" applyNumberFormat="false" applyProtection="false" borderId="24" fillId="0" fontId="4" numFmtId="0" xfId="0">
      <alignment vertical="center"/>
    </xf>
    <xf applyAlignment="true" applyBorder="false" applyFill="false" applyFont="true" applyNumberFormat="false" applyProtection="false" borderId="25" fillId="0" fontId="2" numFmtId="0" xfId="0">
      <alignment vertical="center"/>
    </xf>
    <xf applyAlignment="true" applyBorder="false" applyFill="false" applyFont="true" applyNumberFormat="false" applyProtection="false" borderId="26" fillId="0" fontId="2" numFmtId="0" xfId="0">
      <alignment horizontal="left" vertical="center" wrapText="true"/>
    </xf>
    <xf applyAlignment="true" applyBorder="false" applyFill="true" applyFont="true" applyNumberFormat="false" applyProtection="false" borderId="27" fillId="2" fontId="3" numFmtId="0" xfId="0">
      <alignment horizontal="center" vertical="center" wrapText="true"/>
    </xf>
    <xf applyAlignment="true" applyBorder="false" applyFill="false" applyFont="true" applyNumberFormat="false" applyProtection="false" borderId="28" fillId="0" fontId="5" numFmtId="0" xfId="0">
      <alignment horizontal="center" vertical="center"/>
    </xf>
    <xf applyAlignment="true" applyBorder="false" applyFill="false" applyFont="true" applyNumberFormat="false" applyProtection="false" borderId="29" fillId="0" fontId="2" numFmtId="0" xfId="0">
      <alignment horizontal="left" vertical="center"/>
    </xf>
    <xf applyAlignment="true" applyBorder="false" applyFill="false" applyFont="true" applyNumberFormat="false" applyProtection="false" borderId="30" fillId="0" fontId="2" numFmtId="0" xfId="0">
      <alignment vertical="center" wrapText="true"/>
    </xf>
    <xf applyAlignment="true" applyBorder="false" applyFill="false" applyFont="true" applyNumberFormat="false" applyProtection="false" borderId="31" fillId="0" fontId="2" numFmtId="0" xfId="0">
      <alignment vertical="center"/>
    </xf>
    <xf applyAlignment="true" applyBorder="false" applyFill="false" applyFont="true" applyNumberFormat="false" applyProtection="false" borderId="32" fillId="0" fontId="2" numFmtId="0" xfId="0">
      <alignment horizontal="center" vertical="center"/>
    </xf>
    <xf applyAlignment="true" applyBorder="false" applyFill="false" applyFont="true" applyNumberFormat="false" applyProtection="false" borderId="33" fillId="0" fontId="4" numFmtId="0" xfId="0">
      <alignment horizontal="left" vertical="center"/>
    </xf>
    <xf applyAlignment="true" applyBorder="false" applyFill="false" applyFont="true" applyNumberFormat="false" applyProtection="false" borderId="34" fillId="0" fontId="4" numFmtId="0" xfId="0">
      <alignment horizontal="center" vertical="center"/>
    </xf>
    <xf applyAlignment="true" applyBorder="false" applyFill="false" applyFont="true" applyNumberFormat="false" applyProtection="false" borderId="35" fillId="0" fontId="3" numFmtId="0" xfId="0">
      <alignment vertical="center"/>
    </xf>
    <xf applyAlignment="true" applyBorder="false" applyFill="false" applyFont="true" applyNumberFormat="false" applyProtection="false" borderId="36" fillId="0" fontId="4" numFmtId="0" xfId="0">
      <alignment vertical="center" wrapText="true"/>
    </xf>
    <xf applyAlignment="true" applyBorder="false" applyFill="false" applyFont="true" applyNumberFormat="false" applyProtection="false" borderId="37" fillId="0" fontId="4" numFmtId="0" xfId="0">
      <alignment vertical="center"/>
    </xf>
    <xf applyAlignment="true" applyBorder="false" applyFill="false" applyFont="true" applyNumberFormat="false" applyProtection="false" borderId="38" fillId="0" fontId="4" numFmtId="0" xfId="0">
      <alignment horizontal="center" vertical="center" wrapText="true"/>
    </xf>
    <xf applyAlignment="true" applyBorder="false" applyFill="false" applyFont="true" applyNumberFormat="false" applyProtection="false" borderId="39" fillId="0" fontId="2" numFmtId="0" xfId="0">
      <alignment vertical="center" wrapText="true"/>
    </xf>
    <xf applyAlignment="true" applyBorder="false" applyFill="false" applyFont="true" applyNumberFormat="false" applyProtection="false" borderId="40" fillId="0" fontId="2" numFmtId="0" xfId="0">
      <alignment horizontal="left" vertical="center"/>
    </xf>
    <xf applyAlignment="true" applyBorder="false" applyFill="false" applyFont="true" applyNumberFormat="false" applyProtection="false" borderId="41" fillId="0" fontId="2" numFmtId="0" xfId="0">
      <alignment horizontal="center" vertical="center"/>
    </xf>
    <xf applyAlignment="true" applyBorder="false" applyFill="false" applyFont="true" applyNumberFormat="false" applyProtection="false" borderId="42" fillId="0" fontId="1" numFmtId="0" xfId="0">
      <alignment vertical="center"/>
    </xf>
    <xf applyAlignment="true" applyBorder="false" applyFill="false" applyFont="true" applyNumberFormat="false" applyProtection="false" borderId="43" fillId="0" fontId="2" numFmtId="0" xfId="0">
      <alignment vertical="center"/>
    </xf>
    <xf applyAlignment="true" applyBorder="false" applyFill="false" applyFont="true" applyNumberFormat="false" applyProtection="false" borderId="44" fillId="0" fontId="4" numFmtId="0" xfId="0">
      <alignment horizontal="center" vertical="center"/>
    </xf>
    <xf applyAlignment="true" applyBorder="false" applyFill="false" applyFont="true" applyNumberFormat="false" applyProtection="false" borderId="45" fillId="0" fontId="2" numFmtId="0" xfId="0">
      <alignment vertical="center" wrapText="true"/>
    </xf>
    <xf applyAlignment="true" applyBorder="false" applyFill="false" applyFont="true" applyNumberFormat="false" applyProtection="false" borderId="46" fillId="0" fontId="6" numFmtId="0" xfId="0">
      <alignment vertical="center"/>
    </xf>
    <xf applyAlignment="true" applyBorder="false" applyFill="false" applyFont="true" applyNumberFormat="false" applyProtection="false" borderId="47" fillId="0" fontId="2" numFmtId="0" xfId="0">
      <alignment horizontal="left" vertical="center"/>
    </xf>
    <xf applyAlignment="true" applyBorder="false" applyFill="false" applyFont="true" applyNumberFormat="false" applyProtection="false" borderId="48" fillId="0" fontId="2" numFmtId="0" xfId="0">
      <alignment vertical="center"/>
    </xf>
    <xf applyAlignment="true" applyBorder="false" applyFill="false" applyFont="true" applyNumberFormat="false" applyProtection="false" borderId="49" fillId="0" fontId="2" numFmtId="0" xfId="0">
      <alignment horizontal="center" vertical="center" wrapText="true"/>
    </xf>
    <xf applyAlignment="true" applyBorder="false" applyFill="false" applyFont="true" applyNumberFormat="false" applyProtection="false" borderId="50" fillId="0" fontId="4" numFmtId="0" xfId="0">
      <alignment horizontal="center" vertical="center"/>
    </xf>
    <xf applyAlignment="true" applyBorder="false" applyFill="false" applyFont="true" applyNumberFormat="false" applyProtection="false" borderId="51" fillId="0" fontId="7" numFmtId="0" xfId="0">
      <alignment horizontal="center" vertical="center" wrapText="true"/>
    </xf>
    <xf applyAlignment="true" applyBorder="false" applyFill="false" applyFont="true" applyNumberFormat="false" applyProtection="false" borderId="52" fillId="0" fontId="7" numFmtId="0" xfId="0">
      <alignment horizontal="left" vertical="center" wrapText="true"/>
    </xf>
    <xf applyAlignment="true" applyBorder="false" applyFill="false" applyFont="true" applyNumberFormat="false" applyProtection="false" borderId="53" fillId="0" fontId="6" numFmtId="0" xfId="0">
      <alignment vertical="center"/>
    </xf>
    <xf applyAlignment="true" applyBorder="false" applyFill="false" applyFont="true" applyNumberFormat="false" applyProtection="false" borderId="54" fillId="0" fontId="8" numFmtId="0" xfId="0">
      <alignment horizontal="center" vertical="center" wrapText="true"/>
    </xf>
    <xf applyAlignment="true" applyBorder="false" applyFill="false" applyFont="true" applyNumberFormat="false" applyProtection="false" borderId="55" fillId="0" fontId="6" numFmtId="0" xfId="0">
      <alignment vertical="center"/>
    </xf>
    <xf applyAlignment="true" applyBorder="false" applyFill="false" applyFont="true" applyNumberFormat="false" applyProtection="false" borderId="56" fillId="0" fontId="7" numFmtId="0" xfId="0">
      <alignment horizontal="center" vertical="center" wrapText="true"/>
    </xf>
    <xf applyAlignment="true" applyBorder="false" applyFill="false" applyFont="true" applyNumberFormat="false" applyProtection="false" borderId="57" fillId="0" fontId="7" numFmtId="0" xfId="0">
      <alignment horizontal="center" vertical="center" wrapText="true"/>
    </xf>
    <xf applyAlignment="true" applyBorder="false" applyFill="false" applyFont="true" applyNumberFormat="false" applyProtection="false" borderId="58" fillId="0" fontId="7" numFmtId="0" xfId="0">
      <alignment horizontal="left" vertical="center" wrapText="true"/>
    </xf>
    <xf applyAlignment="true" applyBorder="false" applyFill="false" applyFont="true" applyNumberFormat="false" applyProtection="false" borderId="59" fillId="0" fontId="8" numFmtId="0" xfId="0">
      <alignment horizontal="center" vertical="center" wrapText="true"/>
    </xf>
    <xf applyAlignment="true" applyBorder="false" applyFill="false" applyFont="true" applyNumberFormat="false" applyProtection="false" borderId="60" fillId="0" fontId="9" numFmtId="0" xfId="0">
      <alignment horizontal="center" vertical="center" wrapText="true"/>
    </xf>
    <xf applyAlignment="true" applyBorder="false" applyFill="false" applyFont="true" applyNumberFormat="false" applyProtection="false" borderId="61" fillId="0" fontId="9" numFmtId="0" xfId="0">
      <alignment horizontal="left" vertical="center" wrapText="true"/>
    </xf>
    <xf applyAlignment="true" applyBorder="false" applyFill="false" applyFont="true" applyNumberFormat="false" applyProtection="false" borderId="62" fillId="0" fontId="9" numFmtId="0" xfId="0">
      <alignment horizontal="left" vertical="center" wrapText="true"/>
    </xf>
    <xf applyAlignment="true" applyBorder="false" applyFill="false" applyFont="true" applyNumberFormat="false" applyProtection="false" borderId="63" fillId="0" fontId="9" numFmtId="0" xfId="0">
      <alignment horizontal="left" vertical="center" wrapText="true"/>
    </xf>
    <xf applyAlignment="true" applyBorder="false" applyFill="false" applyFont="true" applyNumberFormat="false" applyProtection="false" borderId="64" fillId="0" fontId="9" numFmtId="0" xfId="0">
      <alignment horizontal="center" vertical="center" wrapText="true"/>
    </xf>
    <xf applyAlignment="true" applyBorder="false" applyFill="false" applyFont="true" applyNumberFormat="false" applyProtection="false" borderId="65" fillId="0" fontId="9" numFmtId="0" xfId="0">
      <alignment horizontal="left" vertical="center" wrapText="true"/>
    </xf>
    <xf applyAlignment="true" applyBorder="false" applyFill="false" applyFont="true" applyNumberFormat="false" applyProtection="false" borderId="66" fillId="0" fontId="9" numFmtId="0" xfId="0">
      <alignment horizontal="center" vertical="center" wrapText="true"/>
    </xf>
    <xf applyAlignment="true" applyBorder="false" applyFill="false" applyFont="true" applyNumberFormat="false" applyProtection="false" borderId="67" fillId="0" fontId="7" numFmtId="0" xfId="0">
      <alignment horizontal="left" vertical="center" wrapText="true"/>
    </xf>
    <xf applyAlignment="true" applyBorder="false" applyFill="false" applyFont="true" applyNumberFormat="false" applyProtection="false" borderId="68" fillId="0" fontId="9" numFmtId="0" xfId="0">
      <alignment horizontal="left" vertical="center" wrapText="true"/>
    </xf>
    <xf applyAlignment="true" applyBorder="false" applyFill="false" applyFont="true" applyNumberFormat="false" applyProtection="false" borderId="69" fillId="0" fontId="10" numFmtId="0" xfId="0">
      <alignment horizontal="center" vertical="center"/>
    </xf>
    <xf applyAlignment="true" applyBorder="false" applyFill="false" applyFont="true" applyNumberFormat="false" applyProtection="false" borderId="70" fillId="0" fontId="6" numFmtId="0" xfId="0">
      <alignment vertical="center"/>
    </xf>
    <xf applyAlignment="true" applyBorder="false" applyFill="true" applyFont="true" applyNumberFormat="false" applyProtection="false" borderId="71" fillId="3" fontId="11" numFmtId="0" xfId="0">
      <alignment horizontal="center" vertical="center"/>
    </xf>
    <xf applyAlignment="true" applyBorder="false" applyFill="true" applyFont="true" applyNumberFormat="false" applyProtection="false" borderId="72" fillId="4" fontId="11" numFmtId="0" xfId="0">
      <alignment horizontal="center" vertical="center"/>
    </xf>
    <xf applyAlignment="true" applyBorder="false" applyFill="false" applyFont="true" applyNumberFormat="false" applyProtection="false" borderId="73" fillId="0" fontId="5" numFmtId="0" xfId="0">
      <alignment horizontal="right" vertical="center"/>
    </xf>
    <xf applyAlignment="true" applyBorder="false" applyFill="true" applyFont="true" applyNumberFormat="false" applyProtection="false" borderId="74" fillId="5" fontId="11" numFmtId="0" xfId="0">
      <alignment horizontal="center" vertical="center"/>
    </xf>
    <xf applyAlignment="true" applyBorder="false" applyFill="false" applyFont="true" applyNumberFormat="false" applyProtection="false" borderId="75" fillId="0" fontId="9" numFmtId="0" xfId="0">
      <alignment horizontal="center" vertical="center" wrapText="true"/>
    </xf>
    <xf applyAlignment="true" applyBorder="false" applyFill="false" applyFont="true" applyNumberFormat="false" applyProtection="false" borderId="76" fillId="0" fontId="6" numFmtId="0" xfId="0">
      <alignment vertical="center"/>
    </xf>
    <xf applyAlignment="true" applyBorder="false" applyFill="false" applyFont="true" applyNumberFormat="false" applyProtection="false" borderId="77" fillId="0" fontId="9" numFmtId="0" xfId="0">
      <alignment horizontal="left" vertical="center" wrapText="true"/>
    </xf>
    <xf applyAlignment="true" applyBorder="false" applyFill="false" applyFont="true" applyNumberFormat="false" applyProtection="false" borderId="78" fillId="0" fontId="9" numFmtId="0" xfId="0">
      <alignment horizontal="left" vertical="center" wrapText="true"/>
    </xf>
    <xf applyAlignment="true" applyBorder="false" applyFill="false" applyFont="true" applyNumberFormat="false" applyProtection="false" borderId="79" fillId="0" fontId="4" numFmtId="0" xfId="0">
      <alignment horizontal="left" vertical="center"/>
    </xf>
    <xf applyAlignment="true" applyBorder="false" applyFill="false" applyFont="true" applyNumberFormat="false" applyProtection="false" borderId="80" fillId="0" fontId="4" numFmtId="0" xfId="0">
      <alignment horizontal="left" vertical="center"/>
    </xf>
    <xf applyAlignment="true" applyBorder="false" applyFill="false" applyFont="true" applyNumberFormat="false" applyProtection="false" borderId="81" fillId="0" fontId="4" numFmtId="0" xfId="0">
      <alignment horizontal="left" vertical="bottom"/>
    </xf>
    <xf applyAlignment="true" applyBorder="false" applyFill="false" applyFont="true" applyNumberFormat="false" applyProtection="false" borderId="82" fillId="0" fontId="4" numFmtId="0" xfId="0">
      <alignment horizontal="left" vertical="center"/>
    </xf>
    <xf applyAlignment="true" applyBorder="false" applyFill="false" applyFont="true" applyNumberFormat="false" applyProtection="false" borderId="83" fillId="0" fontId="4" numFmtId="0" xfId="0">
      <alignment vertical="center"/>
    </xf>
    <xf applyAlignment="true" applyBorder="false" applyFill="true" applyFont="true" applyNumberFormat="false" applyProtection="false" borderId="84" fillId="6" fontId="2" numFmtId="0" xfId="0">
      <alignment vertical="center"/>
    </xf>
    <xf applyAlignment="true" applyBorder="false" applyFill="true" applyFont="true" applyNumberFormat="false" applyProtection="false" borderId="85" fillId="7" fontId="2" numFmtId="0" xfId="0">
      <alignment horizontal="center" vertical="center"/>
    </xf>
    <xf applyAlignment="true" applyBorder="false" applyFill="true" applyFont="true" applyNumberFormat="false" applyProtection="false" borderId="86" fillId="8" fontId="4" numFmtId="0" xfId="0">
      <alignment vertical="center"/>
    </xf>
    <xf applyAlignment="true" applyBorder="false" applyFill="true" applyFont="true" applyNumberFormat="false" applyProtection="false" borderId="87" fillId="9" fontId="2" numFmtId="0" xfId="0">
      <alignment vertical="center"/>
    </xf>
    <xf applyAlignment="true" applyBorder="false" applyFill="false" applyFont="true" applyNumberFormat="false" applyProtection="false" borderId="88" fillId="0" fontId="2" numFmtId="0" xfId="0">
      <alignment vertical="center"/>
    </xf>
    <xf applyAlignment="true" applyBorder="false" applyFill="false" applyFont="true" applyNumberFormat="false" applyProtection="false" borderId="89" fillId="0" fontId="2" numFmtId="0" xfId="0">
      <alignment vertical="center"/>
    </xf>
    <xf applyAlignment="true" applyBorder="false" applyFill="false" applyFont="true" applyNumberFormat="false" applyProtection="false" borderId="90" fillId="0" fontId="2" numFmtId="0" xfId="0">
      <alignment vertical="center"/>
    </xf>
    <xf applyAlignment="true" applyBorder="false" applyFill="false" applyFont="true" applyNumberFormat="false" applyProtection="false" borderId="91" fillId="0" fontId="2" numFmtId="0" xfId="0">
      <alignment horizontal="center" vertical="center"/>
    </xf>
    <xf applyAlignment="true" applyBorder="false" applyFill="true" applyFont="true" applyNumberFormat="false" applyProtection="false" borderId="92" fillId="10" fontId="4" numFmtId="0" xfId="0">
      <alignment vertical="center"/>
    </xf>
    <xf applyAlignment="true" applyBorder="false" applyFill="true" applyFont="true" applyNumberFormat="false" applyProtection="false" borderId="93" fillId="11" fontId="2" numFmtId="0" xfId="0">
      <alignment vertical="center"/>
    </xf>
    <xf applyAlignment="true" applyBorder="false" applyFill="false" applyFont="true" applyNumberFormat="false" applyProtection="false" borderId="94" fillId="0" fontId="4" numFmtId="0" xfId="0">
      <alignment vertical="center"/>
    </xf>
    <xf applyAlignment="true" applyBorder="false" applyFill="false" applyFont="true" applyNumberFormat="false" applyProtection="false" borderId="95" fillId="0" fontId="2" numFmtId="0" xfId="0">
      <alignment vertical="center"/>
    </xf>
    <xf applyAlignment="true" applyBorder="false" applyFill="true" applyFont="true" applyNumberFormat="false" applyProtection="false" borderId="96" fillId="12" fontId="2" numFmtId="0" xfId="0">
      <alignment vertical="center"/>
    </xf>
    <xf applyAlignment="true" applyBorder="false" applyFill="true" applyFont="true" applyNumberFormat="false" applyProtection="false" borderId="97" fillId="13" fontId="4" numFmtId="0" xfId="0">
      <alignment vertical="center"/>
    </xf>
    <xf applyAlignment="true" applyBorder="false" applyFill="false" applyFont="true" applyNumberFormat="false" applyProtection="false" borderId="98" fillId="0" fontId="2" numFmtId="0" xfId="0">
      <alignment vertical="center"/>
    </xf>
    <xf applyAlignment="true" applyBorder="false" applyFill="false" applyFont="true" applyNumberFormat="false" applyProtection="false" borderId="99" fillId="0" fontId="4" numFmtId="0" xfId="0">
      <alignment vertical="center"/>
    </xf>
    <xf applyAlignment="true" applyBorder="false" applyFill="false" applyFont="true" applyNumberFormat="false" applyProtection="false" borderId="100" fillId="0" fontId="2" numFmtId="0" xfId="0">
      <alignment vertical="center"/>
    </xf>
    <xf applyAlignment="true" applyBorder="false" applyFill="true" applyFont="true" applyNumberFormat="false" applyProtection="false" borderId="101" fillId="14" fontId="12" numFmtId="0" xfId="0">
      <alignment horizontal="center" vertical="center" wrapText="true"/>
    </xf>
    <xf applyAlignment="true" applyBorder="false" applyFill="false" applyFont="true" applyNumberFormat="false" applyProtection="false" borderId="102" fillId="0" fontId="13" numFmtId="0" xfId="0">
      <alignment horizontal="center" vertical="center"/>
    </xf>
    <xf applyAlignment="true" applyBorder="false" applyFill="false" applyFont="true" applyNumberFormat="false" applyProtection="false" borderId="103" fillId="0" fontId="14" numFmtId="0" xfId="0">
      <alignment vertical="center" wrapText="true"/>
    </xf>
    <xf applyAlignment="true" applyBorder="false" applyFill="false" applyFont="true" applyNumberFormat="false" applyProtection="false" borderId="104" fillId="0" fontId="14" numFmtId="0" xfId="0">
      <alignment vertical="center"/>
    </xf>
    <xf applyAlignment="true" applyBorder="false" applyFill="false" applyFont="true" applyNumberFormat="false" applyProtection="false" borderId="105" fillId="0" fontId="14" numFmtId="0" xfId="0">
      <alignment vertical="center" wrapText="true"/>
    </xf>
    <xf applyAlignment="true" applyBorder="false" applyFill="false" applyFont="true" applyNumberFormat="false" applyProtection="false" borderId="106" fillId="0" fontId="14" numFmtId="0" xfId="0">
      <alignment vertical="center" wrapText="true"/>
    </xf>
    <xf applyAlignment="true" applyBorder="false" applyFill="false" applyFont="true" applyNumberFormat="false" applyProtection="false" borderId="107" fillId="0" fontId="14" numFmtId="0" xfId="0">
      <alignment vertical="center" wrapText="true"/>
    </xf>
    <xf applyAlignment="true" applyBorder="false" applyFill="false" applyFont="true" applyNumberFormat="false" applyProtection="false" borderId="108" fillId="0" fontId="14" numFmtId="0" xfId="0">
      <alignment vertical="center"/>
    </xf>
    <xf applyAlignment="true" applyBorder="false" applyFill="false" applyFont="true" applyNumberFormat="false" applyProtection="false" borderId="109" fillId="0" fontId="14" numFmtId="0" xfId="0">
      <alignment vertical="center"/>
    </xf>
    <xf applyAlignment="true" applyBorder="false" applyFill="false" applyFont="true" applyNumberFormat="false" applyProtection="false" borderId="110" fillId="0" fontId="14" numFmtId="0" xfId="0">
      <alignment horizontal="left" vertical="center" wrapText="true"/>
    </xf>
    <xf applyAlignment="true" applyBorder="false" applyFill="false" applyFont="true" applyNumberFormat="false" applyProtection="false" borderId="111" fillId="0" fontId="2" numFmtId="0" xfId="0">
      <alignment vertical="center"/>
    </xf>
    <xf applyAlignment="true" applyBorder="false" applyFill="false" applyFont="true" applyNumberFormat="false" applyProtection="false" borderId="112" fillId="0" fontId="14" numFmtId="0" xfId="0">
      <alignment vertical="center" wrapText="true"/>
    </xf>
    <xf applyAlignment="true" applyBorder="false" applyFill="true" applyFont="true" applyNumberFormat="false" applyProtection="false" borderId="113" fillId="15" fontId="15" numFmtId="0" xfId="0">
      <alignment horizontal="center" vertical="center"/>
    </xf>
    <xf applyAlignment="true" applyBorder="false" applyFill="true" applyFont="true" applyNumberFormat="false" applyProtection="false" borderId="114" fillId="16" fontId="15" numFmtId="0" xfId="0">
      <alignment horizontal="center" vertical="center"/>
    </xf>
    <xf applyAlignment="true" applyBorder="false" applyFill="true" applyFont="true" applyNumberFormat="false" applyProtection="false" borderId="115" fillId="17" fontId="15" numFmtId="0" xfId="0">
      <alignment horizontal="center" vertical="center"/>
    </xf>
    <xf applyAlignment="true" applyBorder="false" applyFill="false" applyFont="true" applyNumberFormat="true" applyProtection="false" borderId="116" fillId="0" fontId="2" numFmtId="164" xfId="0">
      <alignment vertical="center"/>
    </xf>
    <xf applyAlignment="true" applyBorder="false" applyFill="true" applyFont="true" applyNumberFormat="false" applyProtection="false" borderId="117" fillId="18" fontId="2" numFmtId="0" xfId="0">
      <alignment vertical="center"/>
    </xf>
    <xf applyAlignment="true" applyBorder="false" applyFill="true" applyFont="true" applyNumberFormat="false" applyProtection="false" borderId="118" fillId="19" fontId="5" numFmtId="0" xfId="0">
      <alignment horizontal="left" vertical="center"/>
    </xf>
    <xf applyAlignment="true" applyBorder="false" applyFill="true" applyFont="true" applyNumberFormat="false" applyProtection="false" borderId="119" fillId="20" fontId="16" numFmtId="0" xfId="0">
      <alignment horizontal="center" vertical="center" wrapText="true"/>
    </xf>
    <xf applyAlignment="true" applyBorder="false" applyFill="true" applyFont="true" applyNumberFormat="false" applyProtection="false" borderId="120" fillId="21" fontId="17" numFmtId="0" xfId="0">
      <alignment horizontal="center" vertical="center" wrapText="true"/>
    </xf>
    <xf applyAlignment="true" applyBorder="false" applyFill="true" applyFont="true" applyNumberFormat="false" applyProtection="false" borderId="121" fillId="22" fontId="16" numFmtId="0" xfId="0">
      <alignment horizontal="left" vertical="center" wrapText="true"/>
    </xf>
    <xf applyAlignment="true" applyBorder="false" applyFill="true" applyFont="true" applyNumberFormat="false" applyProtection="false" borderId="122" fillId="23" fontId="3" numFmtId="0" xfId="0">
      <alignment horizontal="center" vertical="center" wrapText="true"/>
    </xf>
    <xf applyAlignment="true" applyBorder="false" applyFill="true" applyFont="true" applyNumberFormat="false" applyProtection="false" borderId="123" fillId="24" fontId="2" numFmtId="0" xfId="0">
      <alignment vertical="center"/>
    </xf>
    <xf applyAlignment="true" applyBorder="false" applyFill="false" applyFont="true" applyNumberFormat="true" applyProtection="false" borderId="124" fillId="0" fontId="2" numFmtId="165" xfId="0">
      <alignment vertical="center"/>
    </xf>
    <xf applyAlignment="true" applyBorder="false" applyFill="false" applyFont="true" applyNumberFormat="true" applyProtection="false" borderId="125" fillId="0" fontId="2" numFmtId="166" xfId="0">
      <alignment vertical="center"/>
    </xf>
    <xf applyAlignment="true" applyBorder="false" applyFill="false" applyFont="true" applyNumberFormat="true" applyProtection="false" borderId="126" fillId="0" fontId="2" numFmtId="167" xfId="0">
      <alignment vertical="center"/>
    </xf>
    <xf applyAlignment="true" applyBorder="false" applyFill="true" applyFont="true" applyNumberFormat="false" applyProtection="false" borderId="127" fillId="25" fontId="5" numFmtId="0" xfId="0">
      <alignment horizontal="center" vertical="center"/>
    </xf>
    <xf applyAlignment="true" applyBorder="false" applyFill="true" applyFont="true" applyNumberFormat="false" applyProtection="false" borderId="128" fillId="26" fontId="5" numFmtId="0" xfId="0">
      <alignment horizontal="left" vertical="center"/>
    </xf>
    <xf applyAlignment="true" applyBorder="false" applyFill="true" applyFont="true" applyNumberFormat="false" applyProtection="false" borderId="129" fillId="27" fontId="5" numFmtId="0" xfId="0">
      <alignment horizontal="center" vertical="center"/>
    </xf>
    <xf applyAlignment="true" applyBorder="false" applyFill="true" applyFont="true" applyNumberFormat="true" applyProtection="false" borderId="130" fillId="28" fontId="5" numFmtId="168" xfId="0">
      <alignment horizontal="center" vertical="center"/>
    </xf>
    <xf applyAlignment="true" applyBorder="false" applyFill="true" applyFont="true" applyNumberFormat="false" applyProtection="false" borderId="131" fillId="29" fontId="5" numFmtId="0" xfId="0">
      <alignment vertical="center"/>
    </xf>
    <xf applyAlignment="true" applyBorder="false" applyFill="false" applyFont="true" applyNumberFormat="false" applyProtection="false" borderId="132" fillId="0" fontId="5" numFmtId="0" xfId="0">
      <alignment vertical="center"/>
    </xf>
    <xf applyAlignment="true" applyBorder="false" applyFill="true" applyFont="true" applyNumberFormat="false" applyProtection="false" borderId="133" fillId="30" fontId="5" numFmtId="0" xfId="0">
      <alignment horizontal="left" vertical="center"/>
    </xf>
    <xf applyAlignment="true" applyBorder="false" applyFill="false" applyFont="true" applyNumberFormat="false" applyProtection="false" borderId="134" fillId="0" fontId="14" numFmtId="0" xfId="0">
      <alignment vertical="center"/>
    </xf>
    <xf applyAlignment="true" applyBorder="false" applyFill="false" applyFont="true" applyNumberFormat="false" applyProtection="false" borderId="135" fillId="0" fontId="14" numFmtId="0" xfId="0">
      <alignment vertical="bottom"/>
    </xf>
    <xf applyAlignment="true" applyBorder="false" applyFill="true" applyFont="true" applyNumberFormat="false" applyProtection="false" borderId="136" fillId="31" fontId="14" numFmtId="0" xfId="0">
      <alignment vertical="center"/>
    </xf>
    <xf applyAlignment="true" applyBorder="false" applyFill="false" applyFont="true" applyNumberFormat="false" applyProtection="false" borderId="137" fillId="0" fontId="18" numFmtId="0" xfId="0">
      <alignment horizontal="center" vertical="center" wrapText="true"/>
    </xf>
    <xf applyAlignment="true" applyBorder="false" applyFill="true" applyFont="true" applyNumberFormat="false" applyProtection="false" borderId="138" fillId="32" fontId="18" numFmtId="0" xfId="0">
      <alignment horizontal="center" vertical="center"/>
    </xf>
    <xf applyAlignment="true" applyBorder="false" applyFill="true" applyFont="true" applyNumberFormat="false" applyProtection="false" borderId="139" fillId="33" fontId="19" numFmtId="0" xfId="0">
      <alignment horizontal="center" vertical="center"/>
    </xf>
    <xf applyAlignment="true" applyBorder="false" applyFill="true" applyFont="true" applyNumberFormat="false" applyProtection="false" borderId="140" fillId="34" fontId="14" numFmtId="0" xfId="0">
      <alignment vertical="bottom"/>
    </xf>
    <xf applyAlignment="true" applyBorder="false" applyFill="false" applyFont="true" applyNumberFormat="false" applyProtection="false" borderId="141" fillId="0" fontId="20" numFmtId="0" xfId="0">
      <alignment vertical="center"/>
    </xf>
    <xf applyAlignment="true" applyBorder="false" applyFill="false" applyFont="true" applyNumberFormat="false" applyProtection="false" borderId="142" fillId="0" fontId="14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/Relationships>
</file>

<file path=xl/worksheets/_rels/sheet5.xml.rels><?xml version="1.0" encoding="UTF-8" standalone="yes"?>
<Relationships xmlns="http://schemas.openxmlformats.org/package/2006/relationships"><Relationship Id="rId1" Target="http://bi.unilumin.cn:8050/webroot/decision/view/report?viewlet=Unilumin%2F%E6%95%B0%E6%8D%AE%E4%B8%AD%E5%8F%B0%2F%E5%88%86%E6%9E%90%2F%E6%8C%87%E6%A0%87%2F%E5%B1%95%E7%A4%BA%E8%A1%A8_%E9%94%80%E6%9C%8D%E8%BF%90%E8%90%A5%E5%91%A8%E6%8A%A5-%E5%A4%A7%E5%8C%BA-%E6%88%98%E5%8C%BA.cpt&amp;ref_t=design&amp;op=view&amp;ref_c=5a173c92-0bc3-4eaf-a0ae-9931d91d9fbd" Type="http://schemas.openxmlformats.org/officeDocument/2006/relationships/hyperlink" TargetMode="External"></Relationship><Relationship Id="rId2" Target="http://bi.unilumin.cn:8050/webroot/decision/view/report?viewlet=Unilumin%2F%E6%95%B0%E6%8D%AE%E4%B8%AD%E5%8F%B0%2F%E5%A1%AB%E6%8A%A5%2F%E5%9F%BA%E5%87%86%E4%BB%B7%2F%E6%8D%9F%E8%80%97%E7%8E%87%E5%A1%AB%E6%8A%A5%E8%A1%A8.cpt&amp;ref_t=design&amp;op=write&amp;ref_c=8ed7ad83-d91f-4040-8378-bdfbe69c0059" Type="http://schemas.openxmlformats.org/officeDocument/2006/relationships/hyperlink" TargetMode="External"></Relationship><Relationship Id="rId3" Target="http://bi.unilumin.cn:8050/webroot/decision/view/report?viewlet=Unilumin%2F%E6%95%B0%E6%8D%AE%E4%B8%AD%E5%8F%B0%2F%E5%A1%AB%E6%8A%A5%2F%E5%9F%BA%E5%87%86%E4%BB%B7%2FSparts%E5%B8%82%E5%9C%BA%E4%BB%B7%E4%B8%8E%E7%B3%BB%E6%95%B0%E5%A1%AB%E6%8A%A5%E8%A1%A8.cpt&amp;ref_t=design&amp;op=write&amp;ref_c=9e96e942-347c-4741-8f14-f56a9460c974" Type="http://schemas.openxmlformats.org/officeDocument/2006/relationships/hyperlink" TargetMode="External"></Relationship><Relationship Id="rId4" Target="http://bi.unilumin.cn:8050/webroot/decision/view/report?viewlet=Unilumin%2F%E6%95%B0%E6%8D%AE%E4%B8%AD%E5%8F%B0%2F%E5%A1%AB%E6%8A%A5%2F%E6%8C%87%E6%A0%87%2F%E6%8C%87%E6%A0%87%E5%BD%95%E5%85%A5%E8%A1%A8_%E5%AD%90%E5%85%AC%E5%8F%B8%E7%9B%AE%E6%A0%87%E6%95%B0%E6%8D%AE%E8%A1%A5%E5%BD%95%E8%A1%A8.cpt&amp;ref_t=design&amp;op=write&amp;ref_c=13e7a776-8196-4b96-9a5a-93bb8032260a" Type="http://schemas.openxmlformats.org/officeDocument/2006/relationships/hyperlink" TargetMode="External"></Relationship><Relationship Id="rId5" Target="http://bi.unilumin.cn:8050/webroot/decision/view/report?op=write&amp;ref_c=6742704c-79d8-4a38-8ea9-d5d017b87ecf&amp;viewlet=Unilumin%2F%E6%95%B0%E6%8D%AE%E4%B8%AD%E5%8F%B0%2F%E5%88%86%E6%9E%90%2F%E6%8C%87%E6%A0%87%2F%E9%9B%86%E5%9B%A2%E5%91%A8%E6%8A%A5.cpt&amp;ref_t=design" Type="http://schemas.openxmlformats.org/officeDocument/2006/relationships/hyperlink" TargetMode="External"></Relationship><Relationship Id="rId6" Target="http://bi.unilumin.cn:8050/webroot/decision/view/report?viewlet=Unilumin%2F%E6%95%B0%E6%8D%AE%E4%B8%AD%E5%8F%B0%2F%E5%A1%AB%E6%8A%A5%2F%E5%9F%BA%E5%87%86%E4%BB%B7%2F%E5%88%86%E6%91%8A%E8%B4%B9%E7%94%A8%E6%AF%94%E4%BE%8B%E5%A1%AB%E6%8A%A5%E8%A1%A8.cpt&amp;ref_t=design&amp;op=write&amp;ref_c=8ed7ad83-d91f-4040-8378-bdfbe69c0059" Type="http://schemas.openxmlformats.org/officeDocument/2006/relationships/hyperlink" TargetMode="External"></Relationship><Relationship Id="rId7" Target="http://bi.unilumin.cn:8050/webroot/decision/view/report?viewlet=Unilumin%2F%E6%95%B0%E6%8D%AE%E4%B8%AD%E5%8F%B0%2F%E5%88%86%E6%9E%90%2F%E6%8C%87%E6%A0%87%2F%E5%B1%95%E7%A4%BA%E8%A1%A8_%E9%94%80%E6%9C%8D%E8%BF%90%E8%90%A5%E5%91%A8%E6%8A%A5-%E5%A4%A7%E5%8C%BA-%E6%88%98%E5%8C%BA-%E4%B8%9A%E5%8A%A1%E4%BA%A7%E5%93%81%E7%BA%BF.cpt&amp;ref_t=design&amp;op=write&amp;ref_c=5a173c92-0bc3-4eaf-a0ae-9931d91d9fbd" Type="http://schemas.openxmlformats.org/officeDocument/2006/relationships/hyperlink" TargetMode="External"></Relationship><Relationship Id="rId8" Target="http://bi.unilumin.cn:8050/webroot/decision/view/report?viewlet=Unilumin%2F%E6%95%B0%E6%8D%AE%E4%B8%AD%E5%8F%B0%2F%E5%A1%AB%E6%8A%A5%2F%E6%8C%87%E6%A0%87%2F%E6%8C%87%E6%A0%87%E5%BD%95%E5%85%A5%E8%A1%A8_%E5%B9%B4%E5%BA%A6%E7%9B%AE%E6%A0%87%E5%BD%95%E5%85%A5%E8%A1%A8.cpt&amp;ref_t=design&amp;op=write&amp;ref_c=13e7a776-8196-4b96-9a5a-93bb8032260a" Type="http://schemas.openxmlformats.org/officeDocument/2006/relationships/hyperlink" TargetMode="External"></Relationship><Relationship Id="rId9" Target="http://10.2.8.33/pub/pro/mdmdm/homdm-saas/mdm-report/list" Type="http://schemas.openxmlformats.org/officeDocument/2006/relationships/hyperlink" TargetMode="External"></Relationship><Relationship Id="rId10" Target="http://bi.unilumin.cn:8050/webroot/decision/view/report?viewlet=Unilumin%2F%E6%95%B0%E6%8D%AE%E4%B8%AD%E5%8F%B0%2F%E5%88%86%E6%9E%90%2F%E4%BA%A7%E5%93%81%E6%B5%8B%E7%AE%97%E6%88%90%E6%9C%AC%E6%98%8E%E7%BB%86%E8%A1%A8-%E5%8D%95%E5%B1%82.cpt&amp;ref_t=design&amp;ref_c=ca58bd40-9408-4c54-80cb-5eb18e5d5602" Type="http://schemas.openxmlformats.org/officeDocument/2006/relationships/hyperlink" TargetMode="External"></Relationship><Relationship Id="rId11" Target="http://bi.unilumin.cn:8050/webroot/decision/view/report?viewlet=Unilumin%2F%E6%95%B0%E6%8D%AE%E4%B8%AD%E5%8F%B0%2F%E5%A1%AB%E6%8A%A5%2F%E5%9F%BA%E5%87%86%E4%BB%B7%2F%E5%88%B6%E8%B4%B9%E7%8E%87%E5%9F%BA%E7%BA%BF%E5%80%BC%E5%A1%AB%E6%8A%A5%E8%A1%A8.cpt&amp;ref_t=design&amp;op=write&amp;ref_c=8ed7ad83-d91f-4040-8378-bdfbe69c0059" Type="http://schemas.openxmlformats.org/officeDocument/2006/relationships/hyperlink" TargetMode="External"></Relationship><Relationship Id="rId12" Target="http://bi.unilumin.cn:8050/webroot/decision/view/report?viewlet=Unilumin%2F%E6%95%B0%E6%8D%AE%E4%B8%AD%E5%8F%B0%2F%E5%88%86%E6%9E%90%2F%E6%8C%87%E6%A0%87%2F%E5%B1%95%E7%A4%BA%E8%A1%A8_%E9%94%80%E6%9C%8D%E8%BF%90%E8%90%A5%E5%91%A8%E6%8A%A5-%E5%A4%A7%E5%8C%BA.cpt&amp;ref_t=design&amp;op=view&amp;ref_c=5a173c92-0bc3-4eaf-a0ae-9931d91d9fbd" Type="http://schemas.openxmlformats.org/officeDocument/2006/relationships/hyperlink" TargetMode="External"></Relationship><Relationship Id="rId13" Target="http://10.2.8.33/pub/pro/mdmdm/homdm-saas/mdm-report/list" Type="http://schemas.openxmlformats.org/officeDocument/2006/relationships/hyperlink" TargetMode="External"></Relationship><Relationship Id="rId14" Target="http://bi.unilumin.cn:8050/webroot/decision/view/report?viewlet=Unilumin%2F%E6%95%B0%E6%8D%AE%E4%B8%AD%E5%8F%B0%2F%E5%A1%AB%E6%8A%A5%2F%E6%8C%87%E6%A0%87%2F%E6%8C%87%E6%A0%87%E5%BD%95%E5%85%A5%E8%A1%A8_%E5%AD%A3%E5%BA%A6%E6%94%B6%E5%85%A5%E9%A2%84%E4%BC%B0%E8%A1%A5%E5%BD%95%E8%A1%A8.cpt&amp;ref_t=design&amp;op=write&amp;ref_c=13e7a776-8196-4b96-9a5a-93bb8032260a" Type="http://schemas.openxmlformats.org/officeDocument/2006/relationships/hyperlink" TargetMode="External"></Relationship><Relationship Id="rId15" Target="http://bi.unilumin.cn:8050/webroot/decision/view/report?viewlet=Unilumin%2F%E6%95%B0%E6%8D%AE%E4%B8%AD%E5%8F%B0%2F%E5%A1%AB%E6%8A%A5%2F%E6%8C%87%E6%A0%87%2F%E6%8C%87%E6%A0%87%E5%BD%95%E5%85%A5%E8%A1%A8_%E5%AD%90%E5%85%AC%E5%8F%B8%E5%AE%9E%E9%99%85%E6%95%B0%E6%8D%AE%E8%A1%A5%E5%BD%95%E8%A1%A8.cpt&amp;ref_t=design&amp;op=write&amp;ref_c=13e7a776-8196-4b96-9a5a-93bb8032260a" Type="http://schemas.openxmlformats.org/officeDocument/2006/relationships/hyperlink" TargetMode="External"></Relationship><Relationship Id="rId16" Target="http://bi.unilumin.cn:8050/webroot/decision/view/report?viewlet=Unilumin%2F%E6%95%B0%E6%8D%AE%E4%B8%AD%E5%8F%B0%2F%E5%A1%AB%E6%8A%A5%2F%E6%8C%87%E6%A0%87%2F%E6%8C%87%E6%A0%87%E5%BD%95%E5%85%A5%E8%A1%A8_%E5%91%A8%E8%AE%A1%E5%88%92%E5%BD%95%E5%85%A5%E8%A1%A8.cpt&amp;ref_t=design&amp;op=write&amp;ref_c=13e7a776-8196-4b96-9a5a-93bb8032260a" Type="http://schemas.openxmlformats.org/officeDocument/2006/relationships/hyperlink" TargetMode="External"></Relationship><Relationship Id="rId17" Target="http://10.2.8.33/pub/pro/mdmdm/homdm-saas/mdm-report/list" Type="http://schemas.openxmlformats.org/officeDocument/2006/relationships/hyperlink" TargetMode="External"></Relationship><Relationship Id="rId18" Target="http://bi.unilumin.cn:8050/webroot/decision/view/report?viewlet=Unilumin%2F%E6%95%B0%E6%8D%AE%E4%B8%AD%E5%8F%B0%2F%E5%A1%AB%E6%8A%A5%2F%E6%8C%87%E6%A0%87%2F%E6%8C%87%E6%A0%87%E5%BD%95%E5%85%A5%E8%A1%A8_%E6%89%8B%E5%B7%A5%E4%B8%9A%E7%BB%A9%E5%BD%95%E5%85%A5%E8%A1%A8.cpt&amp;ref_t=design&amp;op=write&amp;ref_c=13e7a776-8196-4b96-9a5a-93bb8032260a" Type="http://schemas.openxmlformats.org/officeDocument/2006/relationships/hyperlink" TargetMode="External"></Relationship><Relationship Id="rId19" Target="http://bi.unilumin.cn:8050/webroot/decision/view/report?viewlet=Unilumin%2F%E6%95%B0%E6%8D%AE%E4%B8%AD%E5%8F%B0%2F%E5%88%86%E6%9E%90%2F%E4%BA%A7%E5%93%81%E6%B5%8B%E7%AE%97%E6%88%90%E6%9C%AC%E5%B1%95%E7%A4%BA%E8%A1%A8.cpt&amp;ref_t=design&amp;ref_c=ca58bd40-9408-4c54-80cb-5eb18e5d5602" Type="http://schemas.openxmlformats.org/officeDocument/2006/relationships/hyperlink" TargetMode="External"></Relationship><Relationship Id="rId20" Target="http://bi.unilumin.cn:8050/webroot/decision/view/report?viewlet=Unilumin%2F%E6%95%B0%E6%8D%AE%E4%B8%AD%E5%8F%B0%2F%E5%A1%AB%E6%8A%A5%2F%E5%9F%BA%E5%87%86%E4%BB%B7%2F%E5%B7%A5%E5%8E%82%E4%BE%9B%E8%B4%A7%E6%AF%94%E4%BE%8B%E5%A1%AB%E6%8A%A5%E8%A1%A8.cpt&amp;ref_t=design&amp;op=write&amp;ref_c=8ed7ad83-d91f-4040-8378-bdfbe69c0059" Type="http://schemas.openxmlformats.org/officeDocument/2006/relationships/hyperlink" TargetMode="External"></Relationship><Relationship Id="rId21" Target="http://bi.unilumin.cn:8050/webroot/decision/view/report?viewlet=Unilumin%2F%E6%95%B0%E6%8D%AE%E4%B8%AD%E5%8F%B0%2F%E5%A1%AB%E6%8A%A5%2F%E5%9F%BA%E5%87%86%E4%BB%B7%2F%E4%BB%B7%E6%A0%BC%E7%B3%BB%E6%95%B0%E4%B8%8E%E9%A2%9D%E5%A4%96%E8%B4%A8%E4%BF%9D%E6%AF%94%E4%BE%8B%E5%A1%AB%E6%8A%A5%E8%A1%A8.cpt&amp;ref_t=design&amp;op=write&amp;ref_c=8ed7ad83-d91f-4040-8378-bdfbe69c0059" Type="http://schemas.openxmlformats.org/officeDocument/2006/relationships/hyperlink" TargetMode="External"></Relationship><Relationship Id="rId22" Target="http://bi.unilumin.cn:8050/webroot/decision/view/report?viewlet=Unilumin%2F%E6%95%B0%E6%8D%AE%E4%B8%AD%E5%8F%B0%2F%E5%88%86%E6%9E%90%2F%E6%8C%87%E6%A0%87%2F%E6%8C%87%E6%A0%87%E5%B1%95%E7%A4%BA%E8%A1%A8_%E5%B9%B4%E5%BA%A6%E7%9B%AE%E6%A0%87%E6%BB%9A%E5%8A%A8%E8%AE%A1%E7%AE%97%E8%A1%A8.cpt&amp;ref_t=design&amp;op=write&amp;ref_c=13e7a776-8196-4b96-9a5a-93bb8032260a" Type="http://schemas.openxmlformats.org/officeDocument/2006/relationships/hyperlink" TargetMode="External"></Relationship><Relationship Id="rId23" Target="http://bi.unilumin.cn:8050/webroot/decision/view/report?viewlet=Unilumin%2F%E6%95%B0%E6%8D%AE%E4%B8%AD%E5%8F%B0%2F%E5%88%86%E6%9E%90%2F%E6%8C%87%E6%A0%87%2F%E5%B1%95%E7%A4%BA%E8%A1%A8_%E9%94%80%E6%9C%8D%E8%BF%90%E8%90%A5%E5%91%A8%E6%8A%A5-%E6%95%B4%E4%BD%93-%E4%BA%A7%E5%93%81%E7%BA%BF.cpt&amp;ref_t=design&amp;op=view&amp;ref_c=5a173c92-0bc3-4eaf-a0ae-9931d91d9fbd" Type="http://schemas.openxmlformats.org/officeDocument/2006/relationships/hyperlink" TargetMode="External"></Relationship><Relationship Id="rId24" Target="http://bi.unilumin.cn:8050/webroot/decision/view/report?viewlet=Unilumin%2F%E6%95%B0%E6%8D%AE%E4%B8%AD%E5%8F%B0%2F%E5%A1%AB%E6%8A%A5%2F%E6%8C%87%E6%A0%87%2F%E6%8C%87%E6%A0%87%E5%BD%95%E5%85%A5%E8%A1%A8_%E6%9C%88%E5%BA%A6%E4%BF%9D%E5%BA%95%E7%9B%AE%E6%A0%87%E5%BD%95%E5%85%A5%E8%A1%A8.cpt&amp;ref_t=design&amp;op=write&amp;ref_c=6742704c-79d8-4a38-8ea9-d5d017b87ecf" Type="http://schemas.openxmlformats.org/officeDocument/2006/relationships/hyperlink" TargetMode="External"></Relationship><Relationship Id="rId25" Target="http://bi.unilumin.cn:8050/webroot/decision/view/report?viewlet=Unilumin%2F%E6%95%B0%E6%8D%AE%E4%B8%AD%E5%8F%B0%2F%E5%88%86%E6%9E%90%2F%E4%BA%A7%E5%93%81%E6%9C%80%E9%AB%98%E6%B5%8B%E7%AE%97%E6%88%90%E6%9C%AC%E5%B1%95%E7%A4%BA%E8%A1%A8.cpt&amp;ref_t=design&amp;ref_c=ca58bd40-9408-4c54-80cb-5eb18e5d5602" Type="http://schemas.openxmlformats.org/officeDocument/2006/relationships/hyperlink" TargetMode="External"></Relationship><Relationship Id="rId26" Target="http://bi.unilumin.cn:8050/webroot/decision/view/report?viewlet=Unilumin%2F%E6%95%B0%E6%8D%AE%E4%B8%AD%E5%8F%B0%2F%E5%A1%AB%E6%8A%A5%2F%E5%9F%BA%E5%87%86%E4%BB%B7%2F%E5%88%B6%E8%B4%B9%E7%8E%87%E5%A1%AB%E6%8A%A5%E8%A1%A8.cpt&amp;ref_t=design&amp;op=write&amp;ref_c=8ed7ad83-d91f-4040-8378-bdfbe69c0059" Type="http://schemas.openxmlformats.org/officeDocument/2006/relationships/hyperlink" TargetMode="External"></Relationship><Relationship Id="rId27" Target="http://bi.unilumin.cn:8050/webroot/decision/view/report?viewlet=Unilumin%2F%E6%95%B0%E6%8D%AE%E4%B8%AD%E5%8F%B0%2F%E5%A1%AB%E6%8A%A5%2F%E4%B8%BB%E6%95%B0%E6%8D%AE%2F%E4%B8%BB%E6%95%B0%E6%8D%AE-%E5%90%84%E7%B3%BB%E7%BB%9F%E8%B4%A6%E5%8F%B7%E4%BF%A1%E6%81%AF%E5%A1%AB%E6%8A%A5%E8%A1%A8.cpt&amp;ref_t=design&amp;op=write&amp;ref_c=8ed7ad83-d91f-4040-8378-bdfbe69c0059" Type="http://schemas.openxmlformats.org/officeDocument/2006/relationships/hyperlink" TargetMode="External"></Relationship><Relationship Id="rId28" Target="http://bi.unilumin.cn:8050/webroot/decision/view/report?viewlet=Unilumin%2F%E6%95%B0%E6%8D%AE%E4%B8%AD%E5%8F%B0%2F%E5%88%86%E6%9E%90%2F%E6%8C%87%E6%A0%87%2F%E5%B1%95%E7%A4%BA%E8%A1%A8_%E9%94%80%E6%9C%8D%E8%BF%90%E8%90%A5%E5%91%A8%E6%8A%A5.cpt&amp;ref_t=design&amp;op=view&amp;ref_c=5a173c92-0bc3-4eaf-a0ae-9931d91d9fbd" Type="http://schemas.openxmlformats.org/officeDocument/2006/relationships/hyperlink" TargetMode="External"></Relationship><Relationship Id="rId29" Target="http://bi.unilumin.cn:8050/webroot/decision/view/report?viewlet=Unilumin%2F%E6%95%B0%E6%8D%AE%E4%B8%AD%E5%8F%B0%2F%E5%A1%AB%E6%8A%A5%2F%E5%9F%BA%E5%87%86%E4%BB%B7%2F%E5%B7%A5%E7%A8%8B%E6%9C%8D%E5%8A%A1%E4%BB%B7%E6%A0%BC%E5%A1%AB%E6%8A%A5%E8%A1%A8.cpt&amp;ref_t=design&amp;op=write&amp;ref_c=8ed7ad83-d91f-4040-8378-bdfbe69c0059" Type="http://schemas.openxmlformats.org/officeDocument/2006/relationships/hyperlink" TargetMode="External"></Relationship><Relationship Id="rId30" Target="http://bi.unilumin.cn:8050/webroot/decision/view/report?viewlet=Unilumin%2F%E6%95%B0%E6%8D%AE%E4%B8%AD%E5%8F%B0%2F%E5%A1%AB%E6%8A%A5%2F%E5%9F%BA%E5%87%86%E4%BB%B7%2F%E5%88%86%E9%94%80%E6%A8%A1%E7%BB%84-%E5%88%B6%E8%B4%B9%E5%A1%AB%E6%8A%A5%E8%A1%A8.cpt&amp;ref_t=design&amp;op=write&amp;ref_c=8ed7ad83-d91f-4040-8378-bdfbe69c0059" Type="http://schemas.openxmlformats.org/officeDocument/2006/relationships/hyperlink" TargetMode="External"></Relationship><Relationship Id="rId31" Target="http://bi.unilumin.cn:8050/webroot/decision/view/report?viewlet=Unilumin%2F%E6%95%B0%E6%8D%AE%E4%B8%AD%E5%8F%B0%2F%E5%88%86%E6%9E%90%2F%E6%8C%87%E6%A0%87%2F%E5%B1%95%E7%A4%BA%E8%A1%A8_%E9%94%80%E6%9C%8D%E8%BF%90%E8%90%A5%E5%91%A8%E6%8A%A5-%E5%A4%A7%E5%8C%BA-%E4%B8%9A%E5%8A%A1%E4%BA%A7%E5%93%81%E7%BA%BF.cpt&amp;ref_t=design&amp;op=write&amp;ref_c=5a173c92-0bc3-4eaf-a0ae-9931d91d9fbd" Type="http://schemas.openxmlformats.org/officeDocument/2006/relationships/hyperlink" TargetMode="External"></Relationship><Relationship Id="rId32" Target="http://bi.unilumin.cn:8050/webroot/decision/view/report?viewlet=Unilumin%2F%E6%95%B0%E6%8D%AE%E4%B8%AD%E5%8F%B0%2F%E5%A1%AB%E6%8A%A5%2F%E5%9F%BA%E5%87%86%E4%BB%B7%2F%E5%9F%BA%E5%87%86%E4%BB%B7%E8%B0%83%E6%95%B4%E5%80%BC%E5%A1%AB%E6%8A%A5%E8%A1%A8.cpt&amp;ref_t=design&amp;op=write&amp;ref_c=8ed7ad83-d91f-4040-8378-bdfbe69c0059" Type="http://schemas.openxmlformats.org/officeDocument/2006/relationships/hyperlink" TargetMode="External"></Relationship></Relationships>
</file>

<file path=xl/worksheets/_rels/sheet10.xml.rels><?xml version="1.0" encoding="UTF-8" standalone="yes"?>
<Relationships xmlns="http://schemas.openxmlformats.org/package/2006/relationships"><Relationship Id="rId1" Target="#&#26435;&#38480;&#25511;&#21046;&#26041;&#26696;!A1" Type="http://schemas.openxmlformats.org/officeDocument/2006/relationships/hyperlink" TargetMode="External"></Relationship><Relationship Id="rId2" Target="#&#26435;&#38480;&#25511;&#21046;&#26041;&#26696;!A1" Type="http://schemas.openxmlformats.org/officeDocument/2006/relationships/hyperlink" TargetMode="External"></Relationship><Relationship Id="rId3" Target="#&#39;&#21608;&#25253;-&#25972;&#20307;&#39;!A1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20"/>
    <col collapsed="false" customWidth="true" hidden="false" max="3" min="3" style="0" width="16"/>
    <col collapsed="false" customWidth="true" hidden="false" max="4" min="4" style="0" width="16"/>
    <col collapsed="false" customWidth="true" hidden="false" max="5" min="5" style="0" width="68"/>
    <col collapsed="false" customWidth="true" hidden="false" max="6" min="6" style="0" width="17"/>
    <col collapsed="false" customWidth="true" hidden="false" max="7" min="7" style="0" width="38"/>
    <col collapsed="false" customWidth="true" hidden="false" max="8" min="8" style="0" width="9"/>
    <col collapsed="false" customWidth="true" hidden="false" max="9" min="9" style="0" width="53"/>
    <col collapsed="false" customWidth="true" hidden="false" max="10" min="10" style="0" width="53"/>
    <col collapsed="false" customWidth="true" hidden="false" max="11" min="11" style="0" width="58"/>
    <col collapsed="false" customWidth="true" hidden="false" max="12" min="12" style="0" width="58"/>
    <col collapsed="false" customWidth="true" hidden="false" max="13" min="13" style="0" width="58"/>
  </cols>
  <sheetData>
    <row r="1">
      <c r="A1" s="27" t="str">
        <v>序号</v>
      </c>
      <c r="B1" s="27" t="str">
        <v>UAT事项</v>
      </c>
      <c r="C1" s="27" t="str">
        <v>整体时间安排</v>
      </c>
      <c r="D1" s="27" t="str">
        <v>模块</v>
      </c>
      <c r="E1" s="27" t="str">
        <v>具体事项</v>
      </c>
      <c r="F1" s="27" t="str">
        <v>测试时间(起-止)</v>
      </c>
      <c r="G1" s="27" t="str">
        <v>负责人员/测试人员</v>
      </c>
      <c r="H1" s="27" t="str">
        <v>状态</v>
      </c>
      <c r="I1" s="27" t="str">
        <v>备注1</v>
      </c>
      <c r="J1" s="27" t="str">
        <v>备注2</v>
      </c>
      <c r="K1" s="27" t="str">
        <v>备注3</v>
      </c>
      <c r="L1" s="27" t="str">
        <v>备注4</v>
      </c>
      <c r="M1" s="27" t="str">
        <v>备注5</v>
      </c>
      <c r="N1" s="28"/>
      <c r="O1" s="28"/>
    </row>
    <row r="2">
      <c r="A2" s="3">
        <f>ROW()-1</f>
      </c>
      <c r="B2" s="9" t="str">
        <v>测试准备-用户清单</v>
      </c>
      <c r="C2" s="29" t="str">
        <v>1.9-1.13</v>
      </c>
      <c r="D2" s="31" t="str">
        <v>用户清单</v>
      </c>
      <c r="E2" s="6" t="s">
        <v>1</v>
      </c>
      <c r="F2" s="32" t="str">
        <v>1.9-1.13</v>
      </c>
      <c r="G2" s="30" t="str">
        <v>吴娜；许凯文、佘伟萍、邵炜杰</v>
      </c>
      <c r="H2" s="5" t="str">
        <v>完成</v>
      </c>
      <c r="I2" s="20"/>
      <c r="J2" s="20"/>
      <c r="K2" s="20"/>
      <c r="L2" s="20"/>
      <c r="M2" s="20"/>
    </row>
    <row r="3">
      <c r="A3" s="3">
        <f>ROW()-1</f>
      </c>
      <c r="B3" s="9" t="str">
        <v>测试准备-UAT培训</v>
      </c>
      <c r="C3" s="10" t="str">
        <v>1.14（周三）</v>
      </c>
      <c r="D3" s="9" t="str">
        <v>HR主数据</v>
      </c>
      <c r="E3" s="6" t="str">
        <v>HR主数据测试培训</v>
      </c>
      <c r="F3" s="22" t="str">
        <v>1.14 
14:00-15:00</v>
      </c>
      <c r="G3" s="8" t="str">
        <v>参加培训人员：张丽婷</v>
      </c>
      <c r="H3" s="5" t="str">
        <v>完成</v>
      </c>
      <c r="I3" s="21"/>
      <c r="J3" s="20"/>
      <c r="K3" s="20"/>
      <c r="L3" s="20"/>
      <c r="M3" s="20"/>
    </row>
    <row r="4">
      <c r="A4" s="3">
        <f>ROW()-1</f>
      </c>
      <c r="B4" s="9"/>
      <c r="C4" s="10" t="str">
        <v>1.14（周三）</v>
      </c>
      <c r="D4" s="9"/>
      <c r="E4" s="6" t="str">
        <v>系统账号测试培训</v>
      </c>
      <c r="F4" s="4" t="str">
        <v>1.14
具体时间待沟通确认</v>
      </c>
      <c r="G4" s="24" t="str">
        <v>参加培训人员：业务系统管理员</v>
      </c>
      <c r="H4" s="5" t="str">
        <v>计划</v>
      </c>
      <c r="I4" s="2"/>
      <c r="J4" s="23"/>
      <c r="K4" s="20"/>
      <c r="L4" s="20"/>
      <c r="M4" s="20"/>
    </row>
    <row r="5">
      <c r="A5" s="3">
        <f>ROW()-1</f>
      </c>
      <c r="B5" s="9"/>
      <c r="C5" s="10" t="str">
        <v>1.16（周五）</v>
      </c>
      <c r="D5" s="9" t="str">
        <v>基准价</v>
      </c>
      <c r="E5" s="6" t="str">
        <v>基准价填报培训：制费率基线</v>
      </c>
      <c r="F5" s="4" t="str">
        <v>1.16
具体时间待沟通确认</v>
      </c>
      <c r="G5" s="18" t="str">
        <v>参加培训人员：钟鑫</v>
      </c>
      <c r="H5" s="5" t="str">
        <v>计划</v>
      </c>
      <c r="I5" s="8" t="str">
        <v>PBI仅提供固装的UMini W1.2数据</v>
      </c>
      <c r="J5" s="1"/>
      <c r="K5" s="2"/>
      <c r="L5" s="2"/>
      <c r="M5" s="2"/>
    </row>
    <row r="6">
      <c r="A6" s="3">
        <f>ROW()-1</f>
      </c>
      <c r="B6" s="9"/>
      <c r="C6" s="10" t="str">
        <v>1.16（周五）</v>
      </c>
      <c r="D6" s="9"/>
      <c r="E6" s="6" t="str">
        <v>基准价填报培训：损耗率&amp;委外成本、制费率</v>
      </c>
      <c r="F6" s="4" t="str">
        <v>1.16
具体时间待沟通确认</v>
      </c>
      <c r="G6" s="19" t="str">
        <v>参加培训人员：柘忠良、成本工程师</v>
      </c>
      <c r="H6" s="5" t="str">
        <v>计划</v>
      </c>
      <c r="I6" s="8" t="str">
        <v>PBI仅提供固装的UMini W1.2数据</v>
      </c>
      <c r="J6" s="1"/>
      <c r="K6" s="2"/>
      <c r="L6" s="2"/>
      <c r="M6" s="2"/>
    </row>
    <row r="7">
      <c r="A7" s="3">
        <f>ROW()-1</f>
      </c>
      <c r="B7" s="9"/>
      <c r="C7" s="10" t="str">
        <v>1.16（周五）</v>
      </c>
      <c r="D7" s="9"/>
      <c r="E7" s="6" t="str">
        <v>基准价填报培训：分销-制费</v>
      </c>
      <c r="F7" s="4" t="str">
        <v>1.16
具体时间待沟通确认</v>
      </c>
      <c r="G7" s="12" t="str">
        <v>参加培训人员：吴昌燕、刘秀红</v>
      </c>
      <c r="H7" s="5" t="str">
        <v>计划</v>
      </c>
      <c r="I7" s="8" t="str">
        <v>中台造数测试填报功能</v>
      </c>
      <c r="J7" s="1"/>
      <c r="K7" s="2"/>
      <c r="L7" s="2"/>
      <c r="M7" s="2"/>
    </row>
    <row r="8">
      <c r="A8" s="3">
        <f>ROW()-1</f>
      </c>
      <c r="B8" s="9"/>
      <c r="C8" s="10" t="str">
        <v>1.16（周五）</v>
      </c>
      <c r="D8" s="9"/>
      <c r="E8" s="6" t="str">
        <v>基准价填报培训：供货比例</v>
      </c>
      <c r="F8" s="4" t="str">
        <v>1.16
具体时间待沟通确认</v>
      </c>
      <c r="G8" s="7" t="str">
        <v>参加培训人员：李明生、计划工程师</v>
      </c>
      <c r="H8" s="5" t="str">
        <v>计划</v>
      </c>
      <c r="I8" s="8" t="str">
        <v>PBI仅提供固装的UMini W1.2数据</v>
      </c>
      <c r="J8" s="1"/>
      <c r="K8" s="2"/>
      <c r="L8" s="2"/>
      <c r="M8" s="2"/>
    </row>
    <row r="9">
      <c r="A9" s="3">
        <f>ROW()-1</f>
      </c>
      <c r="B9" s="9"/>
      <c r="C9" s="10" t="str">
        <v>1.16（周五）</v>
      </c>
      <c r="D9" s="9"/>
      <c r="E9" s="6" t="str">
        <v>基准价填报培训：费用分摊比例</v>
      </c>
      <c r="F9" s="4" t="str">
        <v>1.16
具体时间待沟通确认</v>
      </c>
      <c r="G9" s="24" t="str">
        <v>参加培训人员：黄建高</v>
      </c>
      <c r="H9" s="5" t="str">
        <v>计划</v>
      </c>
      <c r="I9" s="8" t="str">
        <v>PBI仅提供固装的UMini W1.2数据</v>
      </c>
      <c r="J9" s="1"/>
      <c r="K9" s="2"/>
      <c r="L9" s="2"/>
      <c r="M9" s="2"/>
    </row>
    <row r="10">
      <c r="A10" s="3">
        <f>ROW()-1</f>
      </c>
      <c r="B10" s="9"/>
      <c r="C10" s="10" t="str">
        <v>1.16（周五）</v>
      </c>
      <c r="D10" s="9"/>
      <c r="E10" s="6" t="str">
        <v>基准价填报培训：工程服务价格填报</v>
      </c>
      <c r="F10" s="4" t="str">
        <v>1.16
具体时间待沟通确认</v>
      </c>
      <c r="G10" s="24" t="str">
        <v>参加培训人员：GTS陈东军</v>
      </c>
      <c r="H10" s="5" t="str">
        <v>计划</v>
      </c>
      <c r="I10" s="8" t="str">
        <v>中台造数测试填报功能</v>
      </c>
      <c r="J10" s="1"/>
      <c r="K10" s="2"/>
      <c r="L10" s="2"/>
      <c r="M10" s="2"/>
    </row>
    <row r="11">
      <c r="A11" s="3">
        <f>ROW()-1</f>
      </c>
      <c r="B11" s="9"/>
      <c r="C11" s="10" t="str">
        <v>1.20（周三）</v>
      </c>
      <c r="D11" s="9"/>
      <c r="E11" s="12" t="str">
        <v>基准价调整值填报表，根据测算出的结果填写调整值：取最高的对比结果【（SUM（材料成本*BOM单位用量+委外成本）*（1+损耗率）/（1-制费率））*供货比例】</v>
      </c>
      <c r="F11" s="4" t="str">
        <v>1.20
具体时间待沟通确认</v>
      </c>
      <c r="G11" s="24" t="str">
        <v>参加培训人员：柘忠良</v>
      </c>
      <c r="H11" s="5" t="str">
        <v>计划</v>
      </c>
      <c r="I11" s="8" t="str">
        <v>PBI仅提供固装的UMini W1.2数据</v>
      </c>
      <c r="J11" s="1"/>
      <c r="K11" s="2"/>
      <c r="L11" s="2"/>
      <c r="M11" s="2"/>
    </row>
    <row r="12">
      <c r="A12" s="3">
        <f>ROW()-1</f>
      </c>
      <c r="B12" s="9"/>
      <c r="C12" s="10" t="str">
        <v>1.20（周三）</v>
      </c>
      <c r="D12" s="9"/>
      <c r="E12" s="12" t="str" xml:space="preserve">
        <v>表单跳转功能测试及数据验证
产品最高测算成本展示表 -》产品测算成本展示表-》产品测算成本明细表-单层 </v>
      </c>
      <c r="F12" s="4" t="str">
        <v>1.20
具体时间待沟通确认</v>
      </c>
      <c r="G12" s="24" t="str">
        <v>参加培训人员：柘忠良</v>
      </c>
      <c r="H12" s="5" t="str">
        <v>计划</v>
      </c>
      <c r="I12" s="8" t="str">
        <v>PBI仅提供固装的UMini W1.2数据</v>
      </c>
      <c r="J12" s="1"/>
      <c r="K12" s="2"/>
      <c r="L12" s="2"/>
      <c r="M12" s="2"/>
    </row>
    <row r="13">
      <c r="A13" s="3">
        <f>ROW()-1</f>
      </c>
      <c r="B13" s="9"/>
      <c r="C13" s="10" t="str">
        <v>1.20（周三）</v>
      </c>
      <c r="D13" s="9"/>
      <c r="E13" s="6" t="str">
        <v>基准价填报培训：价格系数与额外质保比例、Sparts市场价与系数</v>
      </c>
      <c r="F13" s="4" t="str">
        <v>1.20
具体时间待沟通确认</v>
      </c>
      <c r="G13" s="24" t="str">
        <v>参加培训人员：杨朝阳</v>
      </c>
      <c r="H13" s="5" t="str">
        <v>计划</v>
      </c>
      <c r="I13" s="8" t="str">
        <v>PBI仅提供固装的UMini W1.2数据</v>
      </c>
      <c r="J13" s="1"/>
      <c r="K13" s="2"/>
      <c r="L13" s="2"/>
      <c r="M13" s="2"/>
    </row>
    <row r="14">
      <c r="A14" s="3">
        <f>ROW()-1</f>
      </c>
      <c r="B14" s="9"/>
      <c r="C14" s="33" t="str">
        <v>1.15（周四）</v>
      </c>
      <c r="D14" s="9" t="str">
        <v>指标分析-经营周报</v>
      </c>
      <c r="E14" s="6" t="str">
        <v>业绩目标&amp;业绩计划录入培训-销服</v>
      </c>
      <c r="F14" s="38" t="str">
        <v>1.15 
9:30-12:00</v>
      </c>
      <c r="G14" s="39" t="str">
        <v>参加培训人员：
销服运营：雷慧丹、王玉娟；陈益萍；黄丹梅；
销服FIBP：杜茜、杨美琴
</v>
      </c>
      <c r="H14" s="5" t="str">
        <v>完成</v>
      </c>
      <c r="I14" s="23"/>
      <c r="J14" s="2"/>
      <c r="K14" s="2"/>
      <c r="L14" s="2"/>
      <c r="M14" s="2"/>
    </row>
    <row customHeight="true" ht="59" r="15">
      <c r="A15" s="3"/>
      <c r="B15" s="9"/>
      <c r="C15" s="33" t="str">
        <v>1.19（周一）</v>
      </c>
      <c r="D15" s="9"/>
      <c r="E15" s="6" t="str">
        <v>业绩目标&amp;业绩计划录入培训-子公司</v>
      </c>
      <c r="F15" s="4" t="str">
        <v>1.19
具体时间待沟通确认</v>
      </c>
      <c r="G15" s="11" t="str">
        <v>集团财经：张可
子公司财经运营：雷迪奥：张玲；爱加：李金荣；柏年：曹敬敬；康利：王臻；北斗星：梁浪平；Trans.Lux：张可</v>
      </c>
      <c r="H15" s="35" t="str">
        <v>计划</v>
      </c>
      <c r="I15" s="2"/>
      <c r="J15" s="2"/>
      <c r="K15" s="2"/>
      <c r="L15" s="2"/>
      <c r="M15" s="2"/>
    </row>
    <row r="16">
      <c r="A16" s="3">
        <f>ROW()-1</f>
      </c>
      <c r="B16" s="9"/>
      <c r="C16" s="33" t="str">
        <v>1.21（周三）</v>
      </c>
      <c r="D16" s="9"/>
      <c r="E16" s="6" t="str">
        <v>经营周报查看培训-财经&amp;销服</v>
      </c>
      <c r="F16" s="3" t="str">
        <v>1.20
具体时间待沟通确认</v>
      </c>
      <c r="G16" s="37" t="str">
        <v>参加培训人员：
财经运营：王群斌、尹雅媛；杨磊、张可
销服运营：雷慧丹、王玉娟；陈益萍；黄丹梅
产品线运营：李应兰、雷松、乌可丽、田守进</v>
      </c>
      <c r="H16" s="5" t="str">
        <v>计划</v>
      </c>
      <c r="I16" s="2"/>
      <c r="J16" s="2"/>
      <c r="K16" s="2"/>
      <c r="L16" s="2"/>
      <c r="M16" s="2"/>
    </row>
    <row r="17">
      <c r="A17" s="3">
        <f>ROW()-1</f>
      </c>
      <c r="B17" s="31" t="str">
        <v>测试准备-数据准备</v>
      </c>
      <c r="C17" s="33" t="str">
        <v>1.15-1.23</v>
      </c>
      <c r="D17" s="9" t="str">
        <v>指标分析</v>
      </c>
      <c r="E17" s="6" t="str">
        <v>手工业绩表历史数据清理（①海外子公司与客户签单，找不回原母子合同/订单；②全融合外的子公司拆分业绩到销服；③照明业绩）</v>
      </c>
      <c r="F17" s="44" t="str">
        <v>1.15-1.23</v>
      </c>
      <c r="G17" s="12" t="str">
        <v>销服运营：雷慧丹、王玉娟；陈益萍</v>
      </c>
      <c r="H17" s="5" t="str">
        <v>计划</v>
      </c>
      <c r="I17" s="2"/>
      <c r="J17" s="2"/>
      <c r="K17" s="2"/>
      <c r="L17" s="2"/>
      <c r="M17" s="2"/>
    </row>
    <row customHeight="true" ht="19" r="18">
      <c r="A18" s="3">
        <f>ROW()-1</f>
      </c>
      <c r="B18" s="31"/>
      <c r="C18" s="33" t="str">
        <v>1.15-1.23</v>
      </c>
      <c r="D18" s="9" t="str">
        <v>指标分析</v>
      </c>
      <c r="E18" s="6" t="str">
        <v>业绩分配表历史数据清理</v>
      </c>
      <c r="F18" s="44" t="str">
        <v>1.15-1.23</v>
      </c>
      <c r="G18" s="12" t="str">
        <v>销服运营：雷慧丹、王玉娟；陈益萍</v>
      </c>
      <c r="H18" s="5" t="str">
        <v>计划</v>
      </c>
      <c r="I18" s="2"/>
      <c r="J18" s="2"/>
      <c r="K18" s="2"/>
      <c r="L18" s="2"/>
      <c r="M18" s="2"/>
    </row>
    <row customHeight="true" ht="19" r="19">
      <c r="A19" s="3">
        <f>ROW()-1</f>
      </c>
      <c r="B19" s="31"/>
      <c r="C19" s="10" t="str">
        <v>1.12-1.15</v>
      </c>
      <c r="D19" s="9" t="str">
        <v>HR主数据</v>
      </c>
      <c r="E19" s="6" t="str">
        <v>各业务系统账号数据收集</v>
      </c>
      <c r="F19" s="3" t="str">
        <v>1.12-1.15</v>
      </c>
      <c r="G19" s="12" t="str">
        <v>郑日天，各系统管理员</v>
      </c>
      <c r="H19" s="5" t="str">
        <v>计划</v>
      </c>
      <c r="I19" s="2"/>
      <c r="J19" s="2"/>
      <c r="K19" s="2"/>
      <c r="L19" s="2"/>
      <c r="M19" s="2"/>
    </row>
    <row r="20">
      <c r="A20" s="3">
        <f>ROW()-1</f>
      </c>
      <c r="B20" s="31"/>
      <c r="C20" s="10" t="str">
        <v>1.12-1.15</v>
      </c>
      <c r="D20" s="9" t="str">
        <v>基准价</v>
      </c>
      <c r="E20" s="12" t="str">
        <v>按产品系列颗粒度准备的制费率基线值（PBI当前只能提供UMini W1.2一个产品，针对该产品进行测试）</v>
      </c>
      <c r="F20" s="3" t="str">
        <v>1.12-1.15</v>
      </c>
      <c r="G20" s="12" t="str">
        <v>钟鑫</v>
      </c>
      <c r="H20" s="5" t="str">
        <v>计划</v>
      </c>
      <c r="I20" s="5" t="str">
        <v>标准报价业务刷新场景：当前固装产品线需要上线新产品
初始化数据准备（T）
1. PBI已经将要上线的新产品信息同步至数据中台
2. PLM已经将要上线的新产品标准BOM信息同步至数据中台
3. SAP已将要上线新产品的材料价格同步至数据中台
系统操作(按小时更新)（无需调整时，默认使用上次历史数据测算）
1. 财务按产品系列维护制费率基线
2. 计划部维护该产品所属Offering的次月供货比例
3. 固装产品线成本工程师维护产品损耗率和委外成本（若有）
4. FIBP按产品族维护分摊费用比例
5. 固装产品线成本工程师按财务提供制费率参考值维护产品制费率
6. 成本工程师按照测算出的基准价维护调整值
7. 商设根据测基准价+调整值，维护市场价和毛利系数
8. CPQ获取刷新后的报价</v>
      </c>
      <c r="J20" s="5" t="s">
        <v>6</v>
      </c>
      <c r="K20" s="5"/>
      <c r="L20" s="5"/>
      <c r="M20" s="5"/>
    </row>
    <row r="21">
      <c r="A21" s="3">
        <f>ROW()-1</f>
      </c>
      <c r="B21" s="31"/>
      <c r="C21" s="10" t="str">
        <v>1.12-1.15</v>
      </c>
      <c r="D21" s="9" t="str">
        <v>基准价</v>
      </c>
      <c r="E21" s="12" t="str">
        <v>按产品颗粒度准备制费率（除分销产品线的模组）（PBI当前只能提供UMini W1.2一个产品，针对该产品进行测试）</v>
      </c>
      <c r="F21" s="3" t="str">
        <v>1.12-1.15</v>
      </c>
      <c r="G21" s="12" t="str">
        <v>成本工程师：柘忠良</v>
      </c>
      <c r="H21" s="5" t="str">
        <v>计划</v>
      </c>
      <c r="I21" s="5"/>
      <c r="J21" s="5"/>
      <c r="K21" s="5"/>
      <c r="L21" s="5"/>
      <c r="M21" s="5"/>
    </row>
    <row r="22">
      <c r="A22" s="3">
        <f>ROW()-1</f>
      </c>
      <c r="B22" s="31"/>
      <c r="C22" s="26" t="str">
        <v>待定，根据PBI提供测试数据时间安排</v>
      </c>
      <c r="D22" s="9" t="str">
        <v>基准价</v>
      </c>
      <c r="E22" s="12" t="str">
        <v>按产品颗粒度准备制费（仅分销产品线模组）（此次无分销测试数据）</v>
      </c>
      <c r="F22" s="49" t="str">
        <v>待定，根据PBI提供测试数据时间安排</v>
      </c>
      <c r="G22" s="12" t="str">
        <v>分销产品线成本工程师：吴昌燕、刘秀红</v>
      </c>
      <c r="H22" s="5" t="str">
        <v>计划</v>
      </c>
      <c r="I22" s="5"/>
      <c r="J22" s="5"/>
      <c r="K22" s="5"/>
      <c r="L22" s="5"/>
      <c r="M22" s="5"/>
    </row>
    <row r="23">
      <c r="A23" s="3">
        <f>ROW()-1</f>
      </c>
      <c r="B23" s="31"/>
      <c r="C23" s="47" t="str">
        <v>1.12-1.15</v>
      </c>
      <c r="D23" s="9" t="str">
        <v>基准价</v>
      </c>
      <c r="E23" s="12" t="str">
        <v>按Offering颗粒度准备供货比例（PBI当前只能提供UMini W1.2一个产品，针对该产品进行测试）</v>
      </c>
      <c r="F23" s="3" t="str">
        <v>1.12-1.15</v>
      </c>
      <c r="G23" s="12" t="str">
        <v>计划工程师：李明生</v>
      </c>
      <c r="H23" s="5" t="str">
        <v>计划</v>
      </c>
      <c r="I23" s="5"/>
      <c r="J23" s="5"/>
      <c r="K23" s="5"/>
      <c r="L23" s="5"/>
      <c r="M23" s="5"/>
    </row>
    <row customHeight="true" ht="38" r="24">
      <c r="A24" s="3">
        <f>ROW()-1</f>
      </c>
      <c r="B24" s="31"/>
      <c r="C24" s="10" t="str">
        <v>1.12-1.15</v>
      </c>
      <c r="D24" s="48" t="str">
        <v>基准价</v>
      </c>
      <c r="E24" s="12" t="str">
        <v>按产品族颗粒度准备分摊费用比例（PBI当前只能提供UMini W1.2一个产品，针对该产品进行测试）</v>
      </c>
      <c r="F24" s="3" t="str">
        <v>1.12-1.15</v>
      </c>
      <c r="G24" s="12" t="str">
        <v>FIBP：黄建高</v>
      </c>
      <c r="H24" s="5" t="str">
        <v>计划</v>
      </c>
      <c r="I24" s="5"/>
      <c r="J24" s="5"/>
      <c r="K24" s="5"/>
      <c r="L24" s="5"/>
      <c r="M24" s="5"/>
    </row>
    <row r="25">
      <c r="A25" s="3"/>
      <c r="B25" s="31"/>
      <c r="C25" s="26" t="str">
        <v>待定，根据PBI提供测试数据时间安排</v>
      </c>
      <c r="D25" s="48" t="str">
        <v>基准价</v>
      </c>
      <c r="E25" s="6" t="str">
        <v>按照工程服务PCI编码填报对应价格数据</v>
      </c>
      <c r="F25" s="49" t="str">
        <v>待定，根据PBI提供测试数据时间安排</v>
      </c>
      <c r="G25" s="24" t="str">
        <v>GTS：陈东军</v>
      </c>
      <c r="H25" s="5" t="str">
        <v>计划</v>
      </c>
      <c r="I25" s="5"/>
      <c r="J25" s="5"/>
      <c r="K25" s="5"/>
      <c r="L25" s="5"/>
      <c r="M25" s="5"/>
    </row>
    <row customHeight="true" ht="38" r="26">
      <c r="A26" s="3">
        <f>ROW()-1</f>
      </c>
      <c r="B26" s="31"/>
      <c r="C26" s="8" t="str">
        <v>1.21-1.28</v>
      </c>
      <c r="D26" s="48" t="str">
        <v>基准价</v>
      </c>
      <c r="E26" s="12" t="str">
        <v>根据测算出的产品基准价，按产品颗粒度准备各大区市场价、毛利系数（PBI当前只能提供UMini W1.2一个产品，针对该产品进行测试）</v>
      </c>
      <c r="F26" s="3" t="str">
        <v>1.21-1.28</v>
      </c>
      <c r="G26" s="12" t="str">
        <v>商设工程师：杨朝阳</v>
      </c>
      <c r="H26" s="5" t="str">
        <v>计划</v>
      </c>
      <c r="I26" s="5"/>
      <c r="J26" s="5"/>
      <c r="K26" s="5"/>
      <c r="L26" s="5"/>
      <c r="M26" s="5"/>
    </row>
    <row customHeight="true" ht="38" r="27">
      <c r="A27" s="3">
        <f>ROW()-1</f>
      </c>
      <c r="B27" s="31"/>
      <c r="C27" s="8" t="str">
        <v>1.21-1.28</v>
      </c>
      <c r="D27" s="48" t="str">
        <v>基准价</v>
      </c>
      <c r="E27" s="12" t="str">
        <v>根据带出的Spart物料价格，按Spart编码颗粒度准备各大区市场价、毛利系数（PBI当前只能提供UMini W1.2一个产品，针对该产品对应的Spart进行测试）</v>
      </c>
      <c r="F27" s="3" t="str">
        <v>1.21-1.28</v>
      </c>
      <c r="G27" s="12" t="str">
        <v>商设工程师：杨朝阳</v>
      </c>
      <c r="H27" s="5" t="str">
        <v>计划</v>
      </c>
      <c r="I27" s="5"/>
      <c r="J27" s="5"/>
      <c r="K27" s="5"/>
      <c r="L27" s="5"/>
      <c r="M27" s="5"/>
    </row>
    <row customHeight="true" ht="19" r="28">
      <c r="A28" s="3">
        <f>ROW()-1</f>
      </c>
      <c r="B28" s="31" t="str">
        <v>测试准备-系统准备</v>
      </c>
      <c r="C28" s="29" t="str">
        <v>1.12-1.15</v>
      </c>
      <c r="D28" s="9" t="str">
        <v>测试账号创建</v>
      </c>
      <c r="E28" s="12" t="str">
        <v>根据测试用户清单创建测试账号并下发</v>
      </c>
      <c r="F28" s="3" t="str">
        <v>1.12-1.15</v>
      </c>
      <c r="G28" s="12" t="str">
        <v>蔡岸榕</v>
      </c>
      <c r="H28" s="5" t="str">
        <v>进行</v>
      </c>
      <c r="I28" s="20"/>
      <c r="J28" s="2"/>
      <c r="K28" s="2"/>
      <c r="L28" s="2"/>
      <c r="M28" s="2"/>
    </row>
    <row customHeight="true" ht="19" r="29">
      <c r="A29" s="3">
        <f>ROW()-1</f>
      </c>
      <c r="B29" s="31"/>
      <c r="C29" s="10" t="str">
        <v>1.12-1.15</v>
      </c>
      <c r="D29" s="9" t="str">
        <v>账号权限配置</v>
      </c>
      <c r="E29" s="12" t="str">
        <v>角色-用户、角色-菜单权限、角色-数据权限</v>
      </c>
      <c r="F29" s="3" t="str">
        <v>1.12-1.15</v>
      </c>
      <c r="G29" s="12" t="str">
        <v>蔡岸榕、开发工程师</v>
      </c>
      <c r="H29" s="5" t="str">
        <v>计划</v>
      </c>
      <c r="I29" s="20"/>
      <c r="J29" s="2"/>
      <c r="K29" s="2"/>
      <c r="L29" s="2"/>
      <c r="M29" s="2"/>
    </row>
    <row customHeight="true" ht="19" r="30">
      <c r="A30" s="3">
        <f>ROW()-1</f>
      </c>
      <c r="B30" s="12" t="s">
        <v>7</v>
      </c>
      <c r="C30" s="10" t="str">
        <v>1.19-1.23</v>
      </c>
      <c r="D30" s="46" t="str">
        <v>PBI→数据中台</v>
      </c>
      <c r="E30" s="12" t="str">
        <v>PCI信息（用于：基准价测算、指标分析）</v>
      </c>
      <c r="F30" s="50" t="str">
        <v>1.19-1.23</v>
      </c>
      <c r="G30" s="12" t="str">
        <v>刘培；赵彦、佘伟萍、邵炜杰</v>
      </c>
      <c r="H30" s="5" t="str">
        <v>计划</v>
      </c>
      <c r="I30" s="20" t="str">
        <v>风险项：未提供视图、无数据</v>
      </c>
      <c r="J30" s="2"/>
      <c r="K30" s="2"/>
      <c r="L30" s="2"/>
      <c r="M30" s="2"/>
    </row>
    <row customHeight="true" ht="19" r="31">
      <c r="A31" s="3">
        <f>ROW()-1</f>
      </c>
      <c r="B31" s="12"/>
      <c r="C31" s="10"/>
      <c r="D31" s="46" t="str">
        <v>PBI→数据中台</v>
      </c>
      <c r="E31" s="7" t="str">
        <v>Spart信息（用于：基准价测算）</v>
      </c>
      <c r="F31" s="44" t="str">
        <v>1.19-1.23</v>
      </c>
      <c r="G31" s="45" t="str">
        <v>刘培；赵彦、佘伟萍、邵炜杰</v>
      </c>
      <c r="H31" s="5" t="str">
        <v>计划</v>
      </c>
      <c r="I31" s="20" t="str">
        <v>风险项：未提供视图、无数据</v>
      </c>
      <c r="J31" s="2"/>
      <c r="K31" s="2"/>
      <c r="L31" s="2"/>
      <c r="M31" s="2"/>
    </row>
    <row customHeight="true" ht="19" r="32">
      <c r="A32" s="3">
        <f>ROW()-1</f>
      </c>
      <c r="B32" s="12"/>
      <c r="C32" s="10"/>
      <c r="D32" s="46" t="str">
        <v>PBI→数据中台</v>
      </c>
      <c r="E32" s="7" t="str">
        <v>产业目录树、销售目录树（用于：基准价测算、指标分析）</v>
      </c>
      <c r="F32" s="44" t="str">
        <v>1.19-1.23</v>
      </c>
      <c r="G32" s="45" t="str">
        <v>刘培；赵彦、佘伟萍</v>
      </c>
      <c r="H32" s="5" t="str">
        <v>计划</v>
      </c>
      <c r="I32" s="20" t="str">
        <v>风险项：未提供视图、无数据</v>
      </c>
      <c r="J32" s="2"/>
      <c r="K32" s="2"/>
      <c r="L32" s="2"/>
      <c r="M32" s="2"/>
    </row>
    <row customHeight="true" ht="19" r="33">
      <c r="A33" s="3">
        <f>ROW()-1</f>
      </c>
      <c r="B33" s="12"/>
      <c r="C33" s="10"/>
      <c r="D33" s="9" t="str">
        <v>APS→数据中台</v>
      </c>
      <c r="E33" s="7" t="str">
        <v>替代料数据（用于：基准价测算）</v>
      </c>
      <c r="F33" s="44" t="str">
        <v>1.19-1.23</v>
      </c>
      <c r="G33" s="45" t="str">
        <v>张家港；蔡岸榕、邵炜杰</v>
      </c>
      <c r="H33" s="5" t="str">
        <v>计划</v>
      </c>
      <c r="I33" s="20" t="str">
        <v>风险项：无数据</v>
      </c>
      <c r="J33" s="2"/>
      <c r="K33" s="2"/>
      <c r="L33" s="2"/>
      <c r="M33" s="2"/>
    </row>
    <row customHeight="true" ht="19" r="34">
      <c r="A34" s="3">
        <f>ROW()-1</f>
      </c>
      <c r="B34" s="12"/>
      <c r="C34" s="10"/>
      <c r="D34" s="46" t="str">
        <v>PLM→数据中台</v>
      </c>
      <c r="E34" s="7" t="str">
        <v>BOM数据（用于：基准价测算）</v>
      </c>
      <c r="F34" s="44" t="str">
        <v>1.19-1.23</v>
      </c>
      <c r="G34" s="45" t="str">
        <v>刘培；赵彦、邵炜杰</v>
      </c>
      <c r="H34" s="5" t="str">
        <v>计划</v>
      </c>
      <c r="I34" s="2"/>
      <c r="J34" s="2"/>
      <c r="K34" s="2"/>
      <c r="L34" s="2"/>
      <c r="M34" s="2"/>
    </row>
    <row customHeight="true" ht="19" r="35">
      <c r="A35" s="3">
        <f>ROW()-1</f>
      </c>
      <c r="B35" s="12"/>
      <c r="C35" s="10"/>
      <c r="D35" s="46" t="str">
        <v>PLM→数据中台</v>
      </c>
      <c r="E35" s="7" t="str">
        <v>PLM物料主数据（用于：基准价测算）</v>
      </c>
      <c r="F35" s="44" t="str">
        <v>1.19-1.23</v>
      </c>
      <c r="G35" s="45" t="str">
        <v>刘培；赵彦、邵炜杰</v>
      </c>
      <c r="H35" s="5" t="str">
        <v>计划</v>
      </c>
      <c r="I35" s="20"/>
      <c r="J35" s="2"/>
      <c r="K35" s="2"/>
      <c r="L35" s="2"/>
      <c r="M35" s="2"/>
    </row>
    <row customHeight="true" ht="19" r="36">
      <c r="A36" s="3">
        <f>ROW()-1</f>
      </c>
      <c r="B36" s="12"/>
      <c r="C36" s="10"/>
      <c r="D36" s="46" t="str">
        <v>PLM→数据中台</v>
      </c>
      <c r="E36" s="7" t="str">
        <v>PCI编码与CIP编码对应关系（用于：基准价测算、指标分析）</v>
      </c>
      <c r="F36" s="44" t="str">
        <v>1.19-1.23</v>
      </c>
      <c r="G36" s="45" t="str">
        <v>刘培；赵彦、佘伟萍</v>
      </c>
      <c r="H36" s="5" t="str">
        <v>计划</v>
      </c>
      <c r="I36" s="20" t="str">
        <v>风险项：无数据</v>
      </c>
      <c r="J36" s="2"/>
      <c r="K36" s="2"/>
      <c r="L36" s="2"/>
      <c r="M36" s="2"/>
    </row>
    <row customHeight="true" ht="19" r="37">
      <c r="A37" s="3">
        <f>ROW()-1</f>
      </c>
      <c r="B37" s="12"/>
      <c r="C37" s="10"/>
      <c r="D37" s="9" t="str">
        <v>XSYCRM→数据中台</v>
      </c>
      <c r="E37" s="7" t="str">
        <v>客户主数据（含渠道客户）、行业</v>
      </c>
      <c r="F37" s="44" t="str">
        <v>1.19-1.23</v>
      </c>
      <c r="G37" s="45" t="str">
        <v>韦昊亿；刘洋、佘伟萍</v>
      </c>
      <c r="H37" s="5" t="str">
        <v>计划</v>
      </c>
      <c r="I37" s="20" t="str">
        <v>风险项：无数据</v>
      </c>
      <c r="J37" s="2"/>
      <c r="K37" s="2"/>
      <c r="L37" s="2"/>
      <c r="M37" s="2"/>
    </row>
    <row customHeight="true" ht="19" r="38">
      <c r="A38" s="3">
        <f>ROW()-1</f>
      </c>
      <c r="B38" s="12"/>
      <c r="C38" s="10"/>
      <c r="D38" s="25" t="str">
        <v>XSYCRM→数据中台</v>
      </c>
      <c r="E38" s="7" t="str">
        <v>配置清单&amp;报价单信息</v>
      </c>
      <c r="F38" s="44" t="str">
        <v>1.19-1.23</v>
      </c>
      <c r="G38" s="45" t="str">
        <v>韦昊亿；刘洋、邵炜杰</v>
      </c>
      <c r="H38" s="5" t="str">
        <v>计划</v>
      </c>
      <c r="I38" s="20"/>
      <c r="J38" s="2"/>
      <c r="K38" s="2"/>
      <c r="L38" s="2"/>
      <c r="M38" s="2"/>
    </row>
    <row customHeight="true" ht="19" r="39">
      <c r="A39" s="3">
        <f>ROW()-1</f>
      </c>
      <c r="B39" s="12"/>
      <c r="C39" s="10"/>
      <c r="D39" s="46" t="str">
        <v>SRM→数据中台</v>
      </c>
      <c r="E39" s="7" t="str">
        <v>物料预估价格</v>
      </c>
      <c r="F39" s="44" t="str">
        <v>1.19-1.23</v>
      </c>
      <c r="G39" s="45" t="str">
        <v>龚晨；赵彦、邵炜杰</v>
      </c>
      <c r="H39" s="5" t="str">
        <v>计划</v>
      </c>
      <c r="I39" s="2"/>
      <c r="J39" s="2"/>
      <c r="K39" s="2"/>
      <c r="L39" s="2"/>
      <c r="M39" s="2"/>
    </row>
    <row customHeight="true" ht="19" r="40">
      <c r="A40" s="3">
        <f>ROW()-1</f>
      </c>
      <c r="B40" s="12"/>
      <c r="C40" s="10"/>
      <c r="D40" s="9" t="str">
        <v>数据中台→CPQ</v>
      </c>
      <c r="E40" s="7" t="str">
        <v>市场价表</v>
      </c>
      <c r="F40" s="44" t="str">
        <v>1.19-1.23</v>
      </c>
      <c r="G40" s="45" t="str">
        <v>CPQ对接IT；林佳鸿、邵炜杰</v>
      </c>
      <c r="H40" s="5" t="str">
        <v>计划</v>
      </c>
      <c r="I40" s="2"/>
      <c r="J40" s="2"/>
      <c r="K40" s="2"/>
      <c r="L40" s="2"/>
      <c r="M40" s="2"/>
    </row>
    <row customHeight="true" ht="19" r="41">
      <c r="A41" s="3">
        <f>ROW()-1</f>
      </c>
      <c r="B41" s="12"/>
      <c r="C41" s="10"/>
      <c r="D41" s="9" t="str">
        <v>数据中台→CPQ</v>
      </c>
      <c r="E41" s="7" t="str">
        <v>价格修改记录表</v>
      </c>
      <c r="F41" s="44" t="str">
        <v>1.19-1.23</v>
      </c>
      <c r="G41" s="45" t="str">
        <v>CPQ对接IT；林佳鸿、邵炜杰</v>
      </c>
      <c r="H41" s="5" t="str">
        <v>计划</v>
      </c>
      <c r="I41" s="2"/>
      <c r="J41" s="2"/>
      <c r="K41" s="2"/>
      <c r="L41" s="2"/>
      <c r="M41" s="2"/>
    </row>
    <row customHeight="true" ht="19" r="42">
      <c r="A42" s="3">
        <f>ROW()-1</f>
      </c>
      <c r="B42" s="9" t="str">
        <v>UAT测试-HR主数据</v>
      </c>
      <c r="C42" s="10" t="str">
        <v>1.15-1.23</v>
      </c>
      <c r="D42" s="9" t="str">
        <v>组织</v>
      </c>
      <c r="E42" s="12" t="str">
        <v>组织数据与HR数据测试核对</v>
      </c>
      <c r="F42" s="32" t="str">
        <v>1.15-1.23</v>
      </c>
      <c r="G42" s="12" t="str">
        <v>张丽婷</v>
      </c>
      <c r="H42" s="5" t="str">
        <v>进行</v>
      </c>
      <c r="I42" s="2"/>
      <c r="J42" s="2"/>
      <c r="K42" s="2"/>
      <c r="L42" s="2"/>
      <c r="M42" s="2"/>
    </row>
    <row customHeight="true" ht="19" r="43">
      <c r="A43" s="3">
        <f>ROW()-1</f>
      </c>
      <c r="B43" s="9"/>
      <c r="C43" s="10"/>
      <c r="D43" s="9" t="str">
        <v>岗位</v>
      </c>
      <c r="E43" s="12" t="str">
        <v>岗位数据与HR数据测试核对</v>
      </c>
      <c r="F43" s="3" t="str">
        <v>1.15-1.23</v>
      </c>
      <c r="G43" s="12" t="str">
        <v>张丽婷</v>
      </c>
      <c r="H43" s="5" t="str">
        <v>进行</v>
      </c>
      <c r="I43" s="2"/>
      <c r="J43" s="2"/>
      <c r="K43" s="2"/>
      <c r="L43" s="2"/>
      <c r="M43" s="2"/>
    </row>
    <row customHeight="true" ht="19" r="44">
      <c r="A44" s="3">
        <f>ROW()-1</f>
      </c>
      <c r="B44" s="9"/>
      <c r="C44" s="10"/>
      <c r="D44" s="9" t="str">
        <v>人员</v>
      </c>
      <c r="E44" s="12" t="str">
        <v>岗位数据与HR数据测试核对</v>
      </c>
      <c r="F44" s="3" t="str">
        <v>1.15-1.23</v>
      </c>
      <c r="G44" s="12" t="str">
        <v>张丽婷</v>
      </c>
      <c r="H44" s="5" t="str">
        <v>进行</v>
      </c>
      <c r="I44" s="2"/>
      <c r="J44" s="2"/>
      <c r="K44" s="2"/>
      <c r="L44" s="2"/>
      <c r="M44" s="2"/>
    </row>
    <row customHeight="true" ht="19" r="45">
      <c r="A45" s="3">
        <f>ROW()-1</f>
      </c>
      <c r="B45" s="9"/>
      <c r="C45" s="10"/>
      <c r="D45" s="9" t="str">
        <v>系统账号</v>
      </c>
      <c r="E45" s="12" t="str">
        <v>系统账号校验清洗验证</v>
      </c>
      <c r="F45" s="3" t="str">
        <v>1.15-1.23</v>
      </c>
      <c r="G45" s="12" t="str">
        <v>各系统管理员</v>
      </c>
      <c r="H45" s="5" t="str">
        <v>计划</v>
      </c>
      <c r="I45" s="2"/>
      <c r="J45" s="2"/>
      <c r="K45" s="2"/>
      <c r="L45" s="2"/>
      <c r="M45" s="2"/>
    </row>
    <row customHeight="true" ht="20" r="46">
      <c r="A46" s="3">
        <f>ROW()-1</f>
      </c>
      <c r="B46" s="9" t="str">
        <v>UAT测试-基准价</v>
      </c>
      <c r="C46" s="10" t="str">
        <v>1.16-1.30</v>
      </c>
      <c r="D46" s="9" t="str">
        <v>制费率基线</v>
      </c>
      <c r="E46" s="12" t="str">
        <v>制费率基线填报表，按PBI产品目录树中产品系列维护</v>
      </c>
      <c r="F46" s="3" t="str">
        <v>1.16-1.21</v>
      </c>
      <c r="G46" s="12" t="str">
        <v>钟鑫</v>
      </c>
      <c r="H46" s="5" t="str">
        <v>计划</v>
      </c>
      <c r="I46" s="2" t="str">
        <v>PBI当前只能提供UMini W1.2一个产品，针对该产品进行测试</v>
      </c>
      <c r="J46" s="2"/>
      <c r="K46" s="2"/>
      <c r="L46" s="2"/>
      <c r="M46" s="2"/>
    </row>
    <row customHeight="true" ht="19" r="47">
      <c r="A47" s="3">
        <f>ROW()-1</f>
      </c>
      <c r="B47" s="9" t="str">
        <v>UAT测试-基准价</v>
      </c>
      <c r="C47" s="10"/>
      <c r="D47" s="9" t="str">
        <v>损耗率&amp;委外成本</v>
      </c>
      <c r="E47" s="12" t="str">
        <v>损耗率填报表，按PBI产品目录树中产品PCI编码维护</v>
      </c>
      <c r="F47" s="3" t="str">
        <v>1.16-1.21</v>
      </c>
      <c r="G47" s="12" t="str">
        <v>成本工程师 柘忠良</v>
      </c>
      <c r="H47" s="5" t="str">
        <v>计划</v>
      </c>
      <c r="I47" s="2" t="str">
        <v>PBI当前只能提供UMini W1.2一个产品，针对该产品进行测试</v>
      </c>
      <c r="J47" s="2"/>
      <c r="K47" s="2"/>
      <c r="L47" s="2"/>
      <c r="M47" s="2"/>
    </row>
    <row customHeight="true" ht="19" r="48">
      <c r="A48" s="3">
        <f>ROW()-1</f>
      </c>
      <c r="B48" s="9" t="str">
        <v>UAT测试-基准价</v>
      </c>
      <c r="C48" s="10"/>
      <c r="D48" s="9" t="str">
        <v>制费率</v>
      </c>
      <c r="E48" s="12" t="str">
        <v>制费率填报表，按PBI产品目录树中产品PCI编码维护</v>
      </c>
      <c r="F48" s="3" t="str">
        <v>1.16-1.21</v>
      </c>
      <c r="G48" s="12" t="str">
        <v>成本工程师 柘忠良</v>
      </c>
      <c r="H48" s="5" t="str">
        <v>计划</v>
      </c>
      <c r="I48" s="2" t="str">
        <v>PBI当前只能提供UMini W1.2一个产品，针对该产品进行测试</v>
      </c>
      <c r="J48" s="2"/>
      <c r="K48" s="2"/>
      <c r="L48" s="2"/>
      <c r="M48" s="2"/>
    </row>
    <row r="49">
      <c r="A49" s="3">
        <f>ROW()-1</f>
      </c>
      <c r="B49" s="9" t="str">
        <v>UAT测试-基准价</v>
      </c>
      <c r="C49" s="10"/>
      <c r="D49" s="9" t="str">
        <v>制费</v>
      </c>
      <c r="E49" s="12" t="str">
        <v>分销-制费填报表，按PBI产品目录树中产品PCI编码维护</v>
      </c>
      <c r="F49" s="3" t="str">
        <v>1.16-1.21</v>
      </c>
      <c r="G49" s="12" t="str">
        <v>成本工程师：吴昌燕、刘秀红</v>
      </c>
      <c r="H49" s="5" t="str">
        <v>计划</v>
      </c>
      <c r="I49" s="2" t="str">
        <v>PBI未无分销产品线数据样例，本轮以数据中台造数进行测试</v>
      </c>
      <c r="J49" s="2"/>
      <c r="K49" s="2"/>
      <c r="L49" s="2"/>
      <c r="M49" s="2"/>
    </row>
    <row customHeight="true" ht="20" r="50">
      <c r="A50" s="3">
        <f>ROW()-1</f>
      </c>
      <c r="B50" s="9" t="str">
        <v>UAT测试-基准价</v>
      </c>
      <c r="C50" s="10"/>
      <c r="D50" s="9" t="str">
        <v>供货比例</v>
      </c>
      <c r="E50" s="12" t="str">
        <v>供货比例填报表，按PBI产品目录树中产品系列维护</v>
      </c>
      <c r="F50" s="3" t="str">
        <v>1.16-1.21</v>
      </c>
      <c r="G50" s="12" t="str">
        <v>计划工程师 李明生</v>
      </c>
      <c r="H50" s="5" t="str">
        <v>计划</v>
      </c>
      <c r="I50" s="2" t="str">
        <v>PBI当前只能提供UMini W1.2一个产品，针对该产品进行测试</v>
      </c>
      <c r="J50" s="2"/>
      <c r="K50" s="2"/>
      <c r="L50" s="2"/>
      <c r="M50" s="2"/>
    </row>
    <row customHeight="true" ht="33" r="51">
      <c r="A51" s="3">
        <f>ROW()-1</f>
      </c>
      <c r="B51" s="9" t="str">
        <v>UAT测试-基准价</v>
      </c>
      <c r="C51" s="10"/>
      <c r="D51" s="9" t="str">
        <v>分摊费用比例</v>
      </c>
      <c r="E51" s="12" t="str">
        <v>分摊费用比例填报表，按PBI产品目录树中产品族维护</v>
      </c>
      <c r="F51" s="3" t="str">
        <v>1.16-1.21</v>
      </c>
      <c r="G51" s="12" t="str">
        <v>FIBP：黄建高</v>
      </c>
      <c r="H51" s="5" t="str">
        <v>计划</v>
      </c>
      <c r="I51" s="2" t="str">
        <v>PBI当前只能提供UMini W1.2一个产品，针对该产品进行测试</v>
      </c>
      <c r="J51" s="2"/>
      <c r="K51" s="2"/>
      <c r="L51" s="2"/>
      <c r="M51" s="2"/>
    </row>
    <row customHeight="true" ht="19" r="52">
      <c r="A52" s="3">
        <f>ROW()-1</f>
      </c>
      <c r="B52" s="9" t="str">
        <v>UAT测试-基准价</v>
      </c>
      <c r="C52" s="10"/>
      <c r="D52" s="9" t="str">
        <v>产品基准价</v>
      </c>
      <c r="E52" s="12" t="str">
        <v>工程服务价格填报表</v>
      </c>
      <c r="F52" s="3" t="str">
        <v>1.16-1.21</v>
      </c>
      <c r="G52" s="12" t="str">
        <v>GTS：陈东军</v>
      </c>
      <c r="H52" s="5" t="str">
        <v>计划</v>
      </c>
      <c r="I52" s="2" t="str">
        <v>需PBI提供产品目录树数据，表单根据数据带出产品信息</v>
      </c>
      <c r="J52" s="2"/>
      <c r="K52" s="2"/>
      <c r="L52" s="2"/>
      <c r="M52" s="2"/>
    </row>
    <row r="53">
      <c r="A53" s="3">
        <f>ROW()-1</f>
      </c>
      <c r="B53" s="9" t="str">
        <v>UAT测试-基准价</v>
      </c>
      <c r="C53" s="10"/>
      <c r="D53" s="9" t="str">
        <v>产品基准价</v>
      </c>
      <c r="E53" s="12" t="str">
        <v>基准价调整值填报表，根据测算出的结果填写调整值：取最高的对比结果【（SUM（材料成本*BOM单位用量+委外成本）*（1+损耗率）/（1-制费率））*供货比例】</v>
      </c>
      <c r="F53" s="3" t="str">
        <v>1.19-1.23</v>
      </c>
      <c r="G53" s="12" t="str">
        <v>成本工程师：柘忠良</v>
      </c>
      <c r="H53" s="5" t="str">
        <v>计划</v>
      </c>
      <c r="I53" s="2" t="str">
        <v>PBI当前只能提供UMini W1.2一个产品，针对该产品进行测试</v>
      </c>
      <c r="J53" s="2"/>
      <c r="K53" s="2"/>
      <c r="L53" s="2"/>
      <c r="M53" s="2"/>
    </row>
    <row r="54">
      <c r="A54" s="3">
        <f>ROW()-1</f>
      </c>
      <c r="B54" s="9" t="str">
        <v>UAT测试-基准价</v>
      </c>
      <c r="C54" s="10"/>
      <c r="D54" s="9" t="str">
        <v>产品基准价</v>
      </c>
      <c r="E54" s="12" t="str">
        <v>根据公式核对基准价计算结果核对
（基准价+成本工程师调整值）*（1+管理分摊费用比例+研发分摊费用比例+销售分摊费用比例）</v>
      </c>
      <c r="F54" s="44" t="str">
        <v>1.19-1.28</v>
      </c>
      <c r="G54" s="12"/>
      <c r="H54" s="5" t="str">
        <v>计划</v>
      </c>
      <c r="I54" s="2" t="str">
        <v>PBI当前只能提供UMini W1.2一个产品，针对该产品进行测试</v>
      </c>
      <c r="J54" s="2"/>
      <c r="K54" s="2"/>
      <c r="L54" s="2"/>
      <c r="M54" s="2"/>
    </row>
    <row r="55">
      <c r="A55" s="3">
        <f>ROW()-1</f>
      </c>
      <c r="B55" s="9" t="str">
        <v>UAT测试-基准价</v>
      </c>
      <c r="C55" s="10"/>
      <c r="D55" s="9" t="str">
        <v>产品基准价</v>
      </c>
      <c r="E55" s="12" t="str" xml:space="preserve">
        <v>表单跳转功能测试及数据验证
产品最高测算成本展示表 -》产品测算成本展示表-》产品测算成本明细表-单层 </v>
      </c>
      <c r="F55" s="3" t="str">
        <v>1.19-1.23</v>
      </c>
      <c r="G55" s="12" t="str">
        <v>成本工程师：柘忠良</v>
      </c>
      <c r="H55" s="5" t="str">
        <v>计划</v>
      </c>
      <c r="I55" s="2" t="str">
        <v>PBI当前只能提供UMini W1.2一个产品，针对该产品进行测试</v>
      </c>
      <c r="J55" s="2"/>
      <c r="K55" s="2"/>
      <c r="L55" s="2"/>
      <c r="M55" s="2"/>
    </row>
    <row r="56">
      <c r="A56" s="3">
        <f>ROW()-1</f>
      </c>
      <c r="B56" s="9" t="str">
        <v>UAT测试-基准价</v>
      </c>
      <c r="C56" s="10"/>
      <c r="D56" s="9" t="str">
        <v>产品基准价</v>
      </c>
      <c r="E56" s="12" t="str">
        <v>价格系数与额外质保比例填报表</v>
      </c>
      <c r="F56" s="3" t="str">
        <v>1.19-1.28</v>
      </c>
      <c r="G56" s="12" t="str">
        <v>商设工程师：杨朝阳</v>
      </c>
      <c r="H56" s="5" t="str">
        <v>计划</v>
      </c>
      <c r="I56" s="2" t="str">
        <v>PBI当前只能提供UMini W1.2一个产品，针对该产品进行测试</v>
      </c>
      <c r="J56" s="2"/>
      <c r="K56" s="2"/>
      <c r="L56" s="2"/>
      <c r="M56" s="2"/>
    </row>
    <row customHeight="true" ht="20" r="57">
      <c r="A57" s="3">
        <f>ROW()-1</f>
      </c>
      <c r="B57" s="9" t="str">
        <v>UAT测试-基准价</v>
      </c>
      <c r="C57" s="10"/>
      <c r="D57" s="9" t="str">
        <v>产品基准价</v>
      </c>
      <c r="E57" s="12" t="str">
        <v>Sparts市场价与系数填报表</v>
      </c>
      <c r="F57" s="3" t="str">
        <v>1.19-1.28</v>
      </c>
      <c r="G57" s="39" t="str">
        <v>商设工程师：杨朝阳</v>
      </c>
      <c r="H57" s="5" t="str">
        <v>计划</v>
      </c>
      <c r="I57" s="2" t="str">
        <v>PBI当前只能提供UMini W1.2一个产品，针对该产品进行测试</v>
      </c>
      <c r="J57" s="2"/>
      <c r="K57" s="2"/>
      <c r="L57" s="2"/>
      <c r="M57" s="2"/>
    </row>
    <row r="58">
      <c r="A58" s="3">
        <f>ROW()-1</f>
      </c>
      <c r="B58" s="9" t="str">
        <v>UAT测试-经营周报</v>
      </c>
      <c r="C58" s="33" t="str">
        <v>1.16-1.23</v>
      </c>
      <c r="D58" s="9" t="str">
        <v>业绩目标-填报</v>
      </c>
      <c r="E58" s="11" t="str">
        <v>《年度业绩目标录入表》填报测试：年度目标填写-&gt;检查系统拆分结果(按确定比例自动拆解到半年度-季度-月度）-&gt;填写调整值-&gt;保存提交
①2026年度目标；②历史数据整理补录:2025年</v>
      </c>
      <c r="F58" s="44" t="str">
        <v>1.16-1.21</v>
      </c>
      <c r="G58" s="12" t="s">
        <v>4</v>
      </c>
      <c r="H58" s="5" t="str">
        <v>进行</v>
      </c>
      <c r="I58" s="1"/>
      <c r="J58" s="2"/>
      <c r="K58" s="2"/>
      <c r="L58" s="2"/>
      <c r="M58" s="2"/>
    </row>
    <row r="59">
      <c r="A59" s="3">
        <f>ROW()-1</f>
      </c>
      <c r="B59" s="9" t="str">
        <v>UAT测试-经营周报</v>
      </c>
      <c r="C59" s="33"/>
      <c r="D59" s="9" t="str">
        <v>业绩目标-查看</v>
      </c>
      <c r="E59" s="11" t="str">
        <v>《年度业绩目标滚动计算表》测试：预实缺口自动滚动至下一周期(下半年/下个季度/下个月)</v>
      </c>
      <c r="F59" s="44" t="str">
        <v>2.2-2.3</v>
      </c>
      <c r="G59" s="12"/>
      <c r="H59" s="5" t="str">
        <v>进行</v>
      </c>
      <c r="I59" s="1"/>
      <c r="J59" s="2"/>
      <c r="K59" s="2"/>
      <c r="L59" s="2"/>
      <c r="M59" s="2"/>
    </row>
    <row r="60">
      <c r="A60" s="3">
        <f>ROW()-1</f>
      </c>
      <c r="B60" s="9" t="str">
        <v>UAT测试-经营周报</v>
      </c>
      <c r="C60" s="33"/>
      <c r="D60" s="9" t="str">
        <v>业绩目标-填报</v>
      </c>
      <c r="E60" s="11" t="str">
        <v>《月度业绩保底目标录入表》填报测试：按月录入保底目标
①2026.1目标；②历史数据整理并补录:2025年1-12月</v>
      </c>
      <c r="F60" s="44" t="str">
        <v>1.16-1.21</v>
      </c>
      <c r="G60" s="12"/>
      <c r="H60" s="5" t="str">
        <v>进行</v>
      </c>
      <c r="I60" s="1"/>
      <c r="J60" s="2"/>
      <c r="K60" s="2"/>
      <c r="L60" s="2"/>
      <c r="M60" s="2"/>
    </row>
    <row r="61">
      <c r="A61" s="3">
        <f>ROW()-1</f>
      </c>
      <c r="B61" s="9" t="str">
        <v>UAT测试-经营周报</v>
      </c>
      <c r="C61" s="33"/>
      <c r="D61" s="9" t="str">
        <v>业绩预估-填报</v>
      </c>
      <c r="E61" s="11" t="str">
        <v>《周计划录入表》填报测试：每周按国内/国际&amp;业务产品线填写下周计划、月度计划数据（国内按六个业务产品线录入，不区分大区、省份）
①2026.1第1-3周：1.4~1.10、1.11~1.17、1.18~1.24；②历史数据整理:2025年各周</v>
      </c>
      <c r="F61" s="44" t="str">
        <v>1.16-1.21</v>
      </c>
      <c r="G61" s="6" t="s">
        <v>4</v>
      </c>
      <c r="H61" s="5" t="str">
        <v>进行</v>
      </c>
      <c r="I61" s="1"/>
      <c r="J61" s="2"/>
      <c r="K61" s="2"/>
      <c r="L61" s="2"/>
      <c r="M61" s="2"/>
    </row>
    <row r="62">
      <c r="A62" s="3">
        <f>ROW()-1</f>
      </c>
      <c r="B62" s="9" t="str">
        <v>UAT测试-经营周报</v>
      </c>
      <c r="C62" s="33"/>
      <c r="D62" s="9" t="str">
        <v>业绩预估-填报</v>
      </c>
      <c r="E62" s="11" t="str">
        <v>《季度收入预估录入表》填报测试：每月在四大产品线的基础上按照国内/国际填写季度预估收入数据
①2026.Q1目标；②历史数据整理并补录:2025年Q1-Q4</v>
      </c>
      <c r="F62" s="44" t="str">
        <v>1.16-1.21</v>
      </c>
      <c r="G62" s="12" t="s">
        <v>5</v>
      </c>
      <c r="H62" s="5" t="str">
        <v>进行</v>
      </c>
      <c r="I62" s="1"/>
      <c r="J62" s="2"/>
      <c r="K62" s="2"/>
      <c r="L62" s="2"/>
      <c r="M62" s="2"/>
    </row>
    <row r="63">
      <c r="A63" s="3">
        <f>ROW()-1</f>
      </c>
      <c r="B63" s="9" t="str">
        <v>UAT测试-经营周报</v>
      </c>
      <c r="C63" s="33"/>
      <c r="D63" s="9" t="str">
        <v>经营周报-补录</v>
      </c>
      <c r="E63" s="11" t="str">
        <v>《手工业绩补录表》填报测试：①海外子公司与客户签单，找不回原母子合同/订单；②全融合外的子公司拆分业绩到销服；③照明业绩；
作为实际数的一部分纳入整体统计</v>
      </c>
      <c r="F63" s="44" t="str">
        <v>1.16-1.21</v>
      </c>
      <c r="G63" s="14" t="s">
        <v>2</v>
      </c>
      <c r="H63" s="5" t="str">
        <v>进行</v>
      </c>
      <c r="I63" s="2"/>
      <c r="J63" s="2"/>
      <c r="K63" s="2"/>
      <c r="L63" s="2"/>
      <c r="M63" s="2"/>
    </row>
    <row customHeight="true" ht="53" r="64">
      <c r="A64" s="3">
        <f>ROW()-1</f>
      </c>
      <c r="B64" s="9" t="str">
        <v>UAT测试-经营周报</v>
      </c>
      <c r="C64" s="33"/>
      <c r="D64" s="9" t="str">
        <v>经营周报-补录</v>
      </c>
      <c r="E64" s="11" t="str">
        <v>《子公司目标数据录入表》填报测试：全融合以外子公司（比如：雷迪奥）补录业绩目标，用于《集团周报》数据展示</v>
      </c>
      <c r="F64" s="34" t="str">
        <v>1.21-1.23</v>
      </c>
      <c r="G64" s="12" t="s">
        <v>3</v>
      </c>
      <c r="H64" s="5" t="str">
        <v>计划</v>
      </c>
      <c r="I64" s="1"/>
      <c r="J64" s="2"/>
      <c r="K64" s="2"/>
      <c r="L64" s="2"/>
      <c r="M64" s="2"/>
    </row>
    <row customHeight="true" ht="53" r="65">
      <c r="A65" s="3">
        <f>ROW()-1</f>
      </c>
      <c r="B65" s="9" t="str">
        <v>UAT测试-经营周报</v>
      </c>
      <c r="C65" s="33"/>
      <c r="D65" s="9" t="str">
        <v>经营周报-补录</v>
      </c>
      <c r="E65" s="11" t="str">
        <v>《子公司实际数据补录表》填报测试：全融合以外子公司（比如：雷迪奥）补录实际业绩，用于《集团周报》数据展示</v>
      </c>
      <c r="F65" s="34" t="str">
        <v>1.21-1.23</v>
      </c>
      <c r="G65" s="12"/>
      <c r="H65" s="5" t="str">
        <v>计划</v>
      </c>
      <c r="I65" s="1"/>
      <c r="J65" s="2"/>
      <c r="K65" s="2"/>
      <c r="L65" s="2"/>
      <c r="M65" s="2"/>
    </row>
    <row r="66">
      <c r="A66" s="3">
        <f>ROW()-1</f>
      </c>
      <c r="B66" s="9" t="str">
        <v>UAT测试-经营周报</v>
      </c>
      <c r="C66" s="10" t="str">
        <v>1.21-1.28</v>
      </c>
      <c r="D66" s="9" t="str">
        <v>经营周报-集团</v>
      </c>
      <c r="E66" s="36" t="str">
        <v>集团周报：洲明集团整体数据</v>
      </c>
      <c r="F66" s="3" t="str">
        <v>1.21-1.28</v>
      </c>
      <c r="G66" s="6" t="str">
        <v>财经运营中心：杨磊、张可；尹雅媛、王群斌</v>
      </c>
      <c r="H66" s="5" t="str">
        <v>计划</v>
      </c>
      <c r="I66" s="2"/>
      <c r="J66" s="2"/>
      <c r="K66" s="2"/>
      <c r="L66" s="2"/>
      <c r="M66" s="2"/>
    </row>
    <row customHeight="true" ht="29" r="67">
      <c r="A67" s="3">
        <f>ROW()-1</f>
      </c>
      <c r="B67" s="9" t="str">
        <v>UAT测试-经营周报</v>
      </c>
      <c r="C67" s="10"/>
      <c r="D67" s="25" t="str">
        <v>经营周报-销服</v>
      </c>
      <c r="E67" s="11" t="str">
        <v>销服运营周报-整体：全融合整体数据</v>
      </c>
      <c r="F67" s="3" t="str">
        <v>1.21-1.28</v>
      </c>
      <c r="G67" s="26" t="str">
        <v>财经运营中心：杨磊、张可；尹雅媛、王群斌
国内销服：雷慧丹、王玉娟
国际销服：陈益萍
文创：黄丹梅</v>
      </c>
      <c r="H67" s="5" t="str">
        <v>计划</v>
      </c>
      <c r="I67" s="2"/>
      <c r="J67" s="2"/>
      <c r="K67" s="2"/>
      <c r="L67" s="2"/>
      <c r="M67" s="2"/>
    </row>
    <row customHeight="true" ht="29" r="68">
      <c r="A68" s="3">
        <f>ROW()-1</f>
      </c>
      <c r="B68" s="9" t="str">
        <v>UAT测试-经营周报</v>
      </c>
      <c r="C68" s="10"/>
      <c r="D68" s="25" t="str">
        <v>经营周报-销服</v>
      </c>
      <c r="E68" s="11" t="str">
        <v>销服运营周报-整体-产品线：全融合整体数据，支持按区域下钻查看各产品线数据</v>
      </c>
      <c r="F68" s="3" t="str">
        <v>1.21-1.28</v>
      </c>
      <c r="G68" s="26"/>
      <c r="H68" s="5" t="str">
        <v>计划</v>
      </c>
      <c r="I68" s="2"/>
      <c r="J68" s="2"/>
      <c r="K68" s="2"/>
      <c r="L68" s="2"/>
      <c r="M68" s="2"/>
    </row>
    <row customHeight="true" ht="35" r="69">
      <c r="A69" s="3">
        <f>ROW()-1</f>
      </c>
      <c r="B69" s="9" t="str">
        <v>UAT测试-经营周报</v>
      </c>
      <c r="C69" s="10"/>
      <c r="D69" s="9" t="str">
        <v>经营周报-销服</v>
      </c>
      <c r="E69" s="11" t="str">
        <v>销服运营周报-大区：大区数据，国内-4大区/国际-8大区</v>
      </c>
      <c r="F69" s="3" t="str">
        <v>1.21-1.28</v>
      </c>
      <c r="G69" s="12" t="str">
        <v>财经运营中心：杨磊、张可；尹雅媛、王群斌
国内销服：雷慧丹、王玉娟
国际销服：陈益萍
文创：黄丹梅
产品线运营：李应兰、雷松、乌可丽、田守进</v>
      </c>
      <c r="H69" s="5" t="str">
        <v>计划</v>
      </c>
      <c r="I69" s="2"/>
      <c r="J69" s="2"/>
      <c r="K69" s="2"/>
      <c r="L69" s="2"/>
      <c r="M69" s="2"/>
    </row>
    <row customHeight="true" ht="35" r="70">
      <c r="A70" s="3">
        <f>ROW()-1</f>
      </c>
      <c r="B70" s="9" t="str">
        <v>UAT测试-经营周报</v>
      </c>
      <c r="C70" s="10"/>
      <c r="D70" s="9" t="str">
        <v>经营周报-销服</v>
      </c>
      <c r="E70" s="11" t="str">
        <v>销服运营周报-大区-产品线：大区数据；支持按区域下钻查看各产品线数据</v>
      </c>
      <c r="F70" s="3" t="str">
        <v>1.21-1.28</v>
      </c>
      <c r="G70" s="12"/>
      <c r="H70" s="5" t="str">
        <v>计划</v>
      </c>
      <c r="I70" s="2"/>
      <c r="J70" s="2"/>
      <c r="K70" s="2"/>
      <c r="L70" s="2"/>
      <c r="M70" s="2"/>
    </row>
    <row customHeight="true" ht="34" r="71">
      <c r="A71" s="3">
        <f>ROW()-1</f>
      </c>
      <c r="B71" s="9" t="str">
        <v>UAT测试-经营周报</v>
      </c>
      <c r="C71" s="10"/>
      <c r="D71" s="9" t="str">
        <v>经营周报-销服</v>
      </c>
      <c r="E71" s="11" t="str">
        <v>销服运营周报-战区：战区数据，国内-省份/国际-战区</v>
      </c>
      <c r="F71" s="3" t="str">
        <v>1.21-1.28</v>
      </c>
      <c r="G71" s="12" t="str">
        <v>财经运营中心：杨磊、张可；尹雅媛、王群斌
国内销服：雷慧丹、王玉娟
国际销服：陈益萍
文创：黄丹梅</v>
      </c>
      <c r="H71" s="5" t="str">
        <v>计划</v>
      </c>
      <c r="I71" s="2"/>
      <c r="J71" s="2"/>
      <c r="K71" s="2"/>
      <c r="L71" s="2"/>
      <c r="M71" s="2"/>
    </row>
    <row customHeight="true" ht="34" r="72">
      <c r="A72" s="3">
        <f>ROW()-1</f>
      </c>
      <c r="B72" s="9" t="str">
        <v>UAT测试-经营周报</v>
      </c>
      <c r="C72" s="10"/>
      <c r="D72" s="9" t="str">
        <v>经营周报-销服</v>
      </c>
      <c r="E72" s="11" t="str">
        <v>销服运营周报-战区-产品线：战区数据；支持按区域下钻查看各产品线数据</v>
      </c>
      <c r="F72" s="3" t="str">
        <v>1.21-1.28</v>
      </c>
      <c r="G72" s="12"/>
      <c r="H72" s="5" t="str">
        <v>计划</v>
      </c>
      <c r="I72" s="2"/>
      <c r="J72" s="2"/>
      <c r="K72" s="2"/>
      <c r="L72" s="2"/>
      <c r="M72" s="2"/>
    </row>
    <row r="73">
      <c r="A73" s="3">
        <f>ROW()-1</f>
      </c>
      <c r="B73" s="9" t="str">
        <v>UAT测试-经营周报</v>
      </c>
      <c r="C73" s="10"/>
      <c r="D73" s="9" t="str">
        <v>经营周报-销服</v>
      </c>
      <c r="E73" s="11" t="str">
        <v>表单下钻-按区域：
销服运营周报-整体-&gt;销服运营周报-大区-&gt;销服运营周报-战区</v>
      </c>
      <c r="F73" s="3" t="str">
        <v>1.21-1.28</v>
      </c>
      <c r="G73" s="12" t="str">
        <v>财经运营中心：杨磊、张可；尹雅媛、王群斌</v>
      </c>
      <c r="H73" s="5" t="str">
        <v>计划</v>
      </c>
      <c r="I73" s="2"/>
      <c r="J73" s="2"/>
      <c r="K73" s="2"/>
      <c r="L73" s="2"/>
      <c r="M73" s="2"/>
    </row>
    <row r="74">
      <c r="A74" s="3">
        <f>ROW()-1</f>
      </c>
      <c r="B74" s="43" t="str">
        <v>UAT测试-经营周报</v>
      </c>
      <c r="C74" s="10"/>
      <c r="D74" s="43" t="str">
        <v>经营周报-销服</v>
      </c>
      <c r="E74" s="36" t="str">
        <v>表单下钻-按产品线：
销服运营周报-整体-&gt;销服运营周报-整体-产品线
销服运营周报-大区-&gt;销服运营周报-大区-产品线
销服运营周报-战区-&gt;销服运营周报-战区-产品线</v>
      </c>
      <c r="F74" s="3" t="str">
        <v>1.21-1.28</v>
      </c>
      <c r="G74" s="39" t="str">
        <v>国内销服：雷慧丹、王玉娟
国际销服：陈益萍
文创：黄丹梅</v>
      </c>
      <c r="H74" s="5" t="str">
        <v>计划</v>
      </c>
      <c r="I74" s="42"/>
      <c r="J74" s="42"/>
      <c r="K74" s="42"/>
      <c r="L74" s="42"/>
      <c r="M74" s="42"/>
    </row>
    <row r="75">
      <c r="A75" s="4">
        <f>ROW()-1</f>
      </c>
      <c r="B75" s="9" t="str">
        <v>UAT问题修复与复测</v>
      </c>
      <c r="C75" s="40" t="str">
        <v>1.15-1.30</v>
      </c>
      <c r="D75" s="9" t="str">
        <v>UAT问题修复与复测</v>
      </c>
      <c r="E75" s="12" t="str">
        <v>数据中台项目组-UAT测试支持：①测试指导与答疑等；②测试问题修复
测试人员-UAT测试问题复测验证</v>
      </c>
      <c r="F75" s="41" t="str">
        <v>1.15-1.30</v>
      </c>
      <c r="G75" s="12" t="str">
        <v>UAT测试人员；数据中台项目组All</v>
      </c>
      <c r="H75" s="5" t="str">
        <v>进行</v>
      </c>
      <c r="I75" s="2"/>
      <c r="J75" s="2"/>
      <c r="K75" s="2"/>
      <c r="L75" s="2"/>
      <c r="M75" s="2"/>
    </row>
    <row r="76">
      <c r="A76" s="13"/>
      <c r="B76" s="13"/>
      <c r="C76" s="17"/>
      <c r="E76" s="14"/>
      <c r="F76" s="13"/>
      <c r="G76" s="14"/>
      <c r="H76" s="15"/>
      <c r="I76" s="16"/>
      <c r="J76" s="16"/>
      <c r="K76" s="16"/>
      <c r="L76" s="16"/>
      <c r="M76" s="16"/>
    </row>
    <row r="77">
      <c r="A77" s="13"/>
      <c r="B77" s="13"/>
      <c r="C77" s="17"/>
      <c r="E77" s="14"/>
      <c r="F77" s="13"/>
      <c r="G77" s="14"/>
      <c r="H77" s="15"/>
      <c r="I77" s="16"/>
      <c r="J77" s="16"/>
      <c r="K77" s="16"/>
      <c r="L77" s="16"/>
      <c r="M77" s="16"/>
    </row>
    <row r="78">
      <c r="A78" s="13"/>
      <c r="B78" s="13"/>
      <c r="C78" s="17"/>
      <c r="E78" s="14"/>
      <c r="F78" s="13"/>
      <c r="G78" s="14"/>
      <c r="H78" s="15"/>
      <c r="I78" s="16"/>
      <c r="J78" s="16"/>
      <c r="K78" s="16"/>
      <c r="L78" s="16"/>
      <c r="M78" s="16"/>
    </row>
    <row r="79">
      <c r="A79" s="13"/>
      <c r="B79" s="13"/>
      <c r="C79" s="17"/>
      <c r="E79" s="14"/>
      <c r="F79" s="13"/>
      <c r="G79" s="14"/>
      <c r="H79" s="15"/>
      <c r="I79" s="16"/>
      <c r="J79" s="16"/>
      <c r="K79" s="16"/>
      <c r="L79" s="16"/>
      <c r="M79" s="16"/>
    </row>
    <row r="80">
      <c r="A80" s="13"/>
      <c r="B80" s="13"/>
      <c r="C80" s="17"/>
      <c r="E80" s="14"/>
      <c r="F80" s="13"/>
      <c r="G80" s="14"/>
      <c r="H80" s="15"/>
      <c r="I80" s="16"/>
      <c r="J80" s="16"/>
      <c r="K80" s="16"/>
      <c r="L80" s="16"/>
      <c r="M80" s="16"/>
    </row>
    <row r="81">
      <c r="A81" s="13"/>
      <c r="B81" s="13"/>
      <c r="C81" s="17"/>
      <c r="E81" s="14"/>
      <c r="F81" s="13"/>
      <c r="G81" s="14"/>
      <c r="H81" s="15"/>
      <c r="I81" s="16"/>
      <c r="J81" s="16"/>
      <c r="K81" s="16"/>
      <c r="L81" s="16"/>
      <c r="M81" s="16"/>
    </row>
    <row r="82">
      <c r="A82" s="13"/>
      <c r="B82" s="13"/>
      <c r="C82" s="17"/>
      <c r="E82" s="14"/>
      <c r="F82" s="13"/>
      <c r="G82" s="14"/>
      <c r="H82" s="15"/>
      <c r="I82" s="16"/>
      <c r="J82" s="16"/>
      <c r="K82" s="16"/>
      <c r="L82" s="16"/>
      <c r="M82" s="16"/>
    </row>
    <row r="83">
      <c r="A83" s="13"/>
      <c r="B83" s="13"/>
      <c r="C83" s="17"/>
      <c r="E83" s="14"/>
      <c r="F83" s="13"/>
      <c r="G83" s="14"/>
      <c r="H83" s="15"/>
      <c r="I83" s="16"/>
      <c r="J83" s="16"/>
      <c r="K83" s="16"/>
      <c r="L83" s="16"/>
      <c r="M83" s="16"/>
    </row>
    <row r="84">
      <c r="A84" s="13"/>
      <c r="B84" s="13"/>
      <c r="C84" s="17"/>
      <c r="E84" s="14"/>
      <c r="F84" s="13"/>
      <c r="G84" s="14"/>
      <c r="H84" s="15"/>
      <c r="I84" s="16"/>
      <c r="J84" s="16"/>
      <c r="K84" s="16"/>
      <c r="L84" s="16"/>
      <c r="M84" s="16"/>
    </row>
    <row r="85">
      <c r="A85" s="13"/>
      <c r="B85" s="13"/>
      <c r="C85" s="17"/>
      <c r="E85" s="14"/>
      <c r="F85" s="13"/>
      <c r="G85" s="14"/>
      <c r="H85" s="15"/>
      <c r="I85" s="16"/>
      <c r="J85" s="16"/>
      <c r="K85" s="16"/>
      <c r="L85" s="16"/>
      <c r="M85" s="16"/>
    </row>
    <row r="86">
      <c r="A86" s="13"/>
      <c r="B86" s="13"/>
      <c r="C86" s="17"/>
      <c r="E86" s="14"/>
      <c r="F86" s="13"/>
      <c r="G86" s="14"/>
      <c r="H86" s="15"/>
      <c r="I86" s="16"/>
      <c r="J86" s="16"/>
      <c r="K86" s="16"/>
      <c r="L86" s="16"/>
      <c r="M86" s="16"/>
    </row>
    <row r="87">
      <c r="A87" s="13"/>
      <c r="B87" s="13"/>
      <c r="C87" s="17"/>
      <c r="E87" s="14"/>
      <c r="F87" s="13"/>
      <c r="G87" s="14"/>
      <c r="H87" s="15"/>
      <c r="I87" s="16"/>
      <c r="J87" s="16"/>
      <c r="K87" s="16"/>
      <c r="L87" s="16"/>
      <c r="M87" s="16"/>
    </row>
    <row r="88">
      <c r="A88" s="13"/>
      <c r="B88" s="13"/>
      <c r="C88" s="17"/>
      <c r="E88" s="14"/>
      <c r="F88" s="13"/>
      <c r="G88" s="14"/>
      <c r="H88" s="15"/>
      <c r="I88" s="16"/>
      <c r="J88" s="16"/>
      <c r="K88" s="16"/>
      <c r="L88" s="16"/>
      <c r="M88" s="16"/>
    </row>
    <row r="89">
      <c r="A89" s="13"/>
      <c r="B89" s="13"/>
      <c r="C89" s="17"/>
      <c r="E89" s="14"/>
      <c r="F89" s="13"/>
      <c r="G89" s="14"/>
      <c r="H89" s="15"/>
      <c r="I89" s="16"/>
      <c r="J89" s="16"/>
      <c r="K89" s="16"/>
      <c r="L89" s="16"/>
      <c r="M89" s="16"/>
    </row>
    <row r="90">
      <c r="A90" s="13"/>
      <c r="B90" s="13"/>
      <c r="C90" s="17"/>
      <c r="E90" s="14"/>
      <c r="F90" s="13"/>
      <c r="G90" s="14"/>
      <c r="H90" s="15"/>
      <c r="I90" s="16"/>
      <c r="J90" s="16"/>
      <c r="K90" s="16"/>
      <c r="L90" s="16"/>
      <c r="M90" s="16"/>
    </row>
    <row r="91">
      <c r="A91" s="13"/>
      <c r="B91" s="13"/>
      <c r="C91" s="17"/>
      <c r="E91" s="14"/>
      <c r="F91" s="13"/>
      <c r="G91" s="14"/>
      <c r="H91" s="15"/>
      <c r="I91" s="16"/>
      <c r="J91" s="16"/>
      <c r="K91" s="16"/>
      <c r="L91" s="16"/>
      <c r="M91" s="16"/>
    </row>
    <row r="92">
      <c r="A92" s="13"/>
      <c r="B92" s="13"/>
      <c r="C92" s="17"/>
      <c r="E92" s="14"/>
      <c r="F92" s="13"/>
      <c r="G92" s="14"/>
      <c r="H92" s="15"/>
      <c r="I92" s="16"/>
      <c r="J92" s="16"/>
      <c r="K92" s="16"/>
      <c r="L92" s="16"/>
      <c r="M92" s="16"/>
    </row>
    <row r="93">
      <c r="A93" s="13"/>
      <c r="B93" s="13"/>
      <c r="C93" s="17"/>
      <c r="E93" s="14"/>
      <c r="F93" s="13"/>
      <c r="G93" s="14"/>
      <c r="H93" s="15"/>
      <c r="I93" s="16"/>
      <c r="J93" s="16"/>
      <c r="K93" s="16"/>
      <c r="L93" s="16"/>
      <c r="M93" s="16"/>
    </row>
    <row r="94">
      <c r="A94" s="13"/>
      <c r="B94" s="13"/>
      <c r="C94" s="17"/>
      <c r="E94" s="14"/>
      <c r="F94" s="13"/>
      <c r="G94" s="14"/>
      <c r="H94" s="15"/>
      <c r="I94" s="16"/>
      <c r="J94" s="16"/>
      <c r="K94" s="16"/>
      <c r="L94" s="16"/>
      <c r="M94" s="16"/>
    </row>
    <row r="95">
      <c r="A95" s="13"/>
      <c r="B95" s="13"/>
      <c r="C95" s="17"/>
      <c r="E95" s="14"/>
      <c r="F95" s="13"/>
      <c r="G95" s="14"/>
      <c r="H95" s="15"/>
      <c r="I95" s="16"/>
      <c r="J95" s="16"/>
      <c r="K95" s="16"/>
      <c r="L95" s="16"/>
      <c r="M95" s="16"/>
    </row>
    <row r="96">
      <c r="A96" s="13"/>
      <c r="B96" s="13"/>
      <c r="C96" s="17"/>
      <c r="E96" s="14"/>
      <c r="F96" s="13"/>
      <c r="G96" s="14"/>
      <c r="H96" s="15"/>
      <c r="I96" s="16"/>
      <c r="J96" s="16"/>
      <c r="K96" s="16"/>
      <c r="L96" s="16"/>
      <c r="M96" s="16"/>
    </row>
    <row r="97">
      <c r="A97" s="13"/>
      <c r="B97" s="13"/>
      <c r="C97" s="17"/>
      <c r="E97" s="14"/>
      <c r="F97" s="13"/>
      <c r="G97" s="14"/>
      <c r="H97" s="15"/>
      <c r="I97" s="16"/>
      <c r="J97" s="16"/>
      <c r="K97" s="16"/>
      <c r="L97" s="16"/>
      <c r="M97" s="16"/>
    </row>
    <row r="98">
      <c r="A98" s="13"/>
      <c r="B98" s="13"/>
      <c r="C98" s="17"/>
      <c r="E98" s="14"/>
      <c r="F98" s="13"/>
      <c r="G98" s="14"/>
      <c r="H98" s="15"/>
      <c r="I98" s="16"/>
      <c r="J98" s="16"/>
      <c r="K98" s="16"/>
      <c r="L98" s="16"/>
      <c r="M98" s="16"/>
    </row>
    <row r="99">
      <c r="A99" s="13"/>
      <c r="B99" s="13"/>
      <c r="C99" s="17"/>
      <c r="E99" s="14"/>
      <c r="F99" s="13"/>
      <c r="G99" s="14"/>
      <c r="H99" s="15"/>
      <c r="I99" s="16"/>
      <c r="J99" s="16"/>
      <c r="K99" s="16"/>
      <c r="L99" s="16"/>
      <c r="M99" s="16"/>
    </row>
    <row r="100">
      <c r="A100" s="13"/>
      <c r="B100" s="13"/>
      <c r="C100" s="17"/>
      <c r="E100" s="14"/>
      <c r="F100" s="13"/>
      <c r="G100" s="14"/>
      <c r="H100" s="15"/>
      <c r="I100" s="16"/>
      <c r="J100" s="16"/>
      <c r="K100" s="16"/>
      <c r="L100" s="16"/>
      <c r="M100" s="16"/>
    </row>
    <row r="101">
      <c r="A101" s="13"/>
      <c r="B101" s="13"/>
      <c r="C101" s="17"/>
      <c r="E101" s="14"/>
      <c r="F101" s="13"/>
      <c r="G101" s="14"/>
      <c r="H101" s="15"/>
      <c r="I101" s="16"/>
      <c r="J101" s="16"/>
      <c r="K101" s="16"/>
      <c r="L101" s="16"/>
      <c r="M101" s="16"/>
    </row>
    <row r="102">
      <c r="A102" s="13"/>
      <c r="B102" s="13"/>
      <c r="C102" s="17"/>
      <c r="E102" s="14"/>
      <c r="F102" s="13"/>
      <c r="G102" s="14"/>
      <c r="H102" s="15"/>
      <c r="I102" s="16"/>
      <c r="J102" s="16"/>
      <c r="K102" s="16"/>
      <c r="L102" s="16"/>
      <c r="M102" s="16"/>
    </row>
    <row r="103">
      <c r="A103" s="13"/>
      <c r="B103" s="13"/>
      <c r="C103" s="17"/>
      <c r="E103" s="14"/>
      <c r="F103" s="13"/>
      <c r="G103" s="14"/>
      <c r="H103" s="15"/>
      <c r="I103" s="16"/>
      <c r="J103" s="16"/>
      <c r="K103" s="16"/>
      <c r="L103" s="16"/>
      <c r="M103" s="16"/>
    </row>
    <row r="104">
      <c r="A104" s="13"/>
      <c r="B104" s="13"/>
      <c r="C104" s="17"/>
      <c r="E104" s="14"/>
      <c r="F104" s="13"/>
      <c r="G104" s="14"/>
      <c r="H104" s="15"/>
      <c r="I104" s="16"/>
      <c r="J104" s="16"/>
      <c r="K104" s="16"/>
      <c r="L104" s="16"/>
      <c r="M104" s="16"/>
    </row>
    <row r="105">
      <c r="A105" s="13"/>
      <c r="B105" s="13"/>
      <c r="C105" s="17"/>
      <c r="E105" s="14"/>
      <c r="F105" s="13"/>
      <c r="G105" s="14"/>
      <c r="H105" s="15"/>
      <c r="I105" s="16"/>
      <c r="J105" s="16"/>
      <c r="K105" s="16"/>
      <c r="L105" s="16"/>
      <c r="M105" s="16"/>
    </row>
    <row r="106">
      <c r="A106" s="13"/>
      <c r="B106" s="13"/>
      <c r="C106" s="17"/>
      <c r="E106" s="14"/>
      <c r="F106" s="13"/>
      <c r="G106" s="14"/>
      <c r="H106" s="15"/>
      <c r="I106" s="16"/>
      <c r="J106" s="16"/>
      <c r="K106" s="16"/>
      <c r="L106" s="16"/>
      <c r="M106" s="16"/>
    </row>
    <row r="107">
      <c r="A107" s="13"/>
      <c r="B107" s="13"/>
      <c r="C107" s="17"/>
      <c r="E107" s="14"/>
      <c r="F107" s="13"/>
      <c r="G107" s="14"/>
      <c r="H107" s="15"/>
      <c r="I107" s="16"/>
      <c r="J107" s="16"/>
      <c r="K107" s="16"/>
      <c r="L107" s="16"/>
      <c r="M107" s="16"/>
    </row>
    <row r="108">
      <c r="A108" s="13"/>
      <c r="B108" s="13"/>
      <c r="C108" s="17"/>
      <c r="E108" s="14"/>
      <c r="F108" s="13"/>
      <c r="G108" s="14"/>
      <c r="H108" s="15"/>
      <c r="I108" s="16"/>
      <c r="J108" s="16"/>
      <c r="K108" s="16"/>
      <c r="L108" s="16"/>
      <c r="M108" s="16"/>
    </row>
    <row r="109">
      <c r="A109" s="13"/>
      <c r="B109" s="13"/>
      <c r="C109" s="17"/>
      <c r="E109" s="14"/>
      <c r="F109" s="13"/>
      <c r="G109" s="14"/>
      <c r="H109" s="15"/>
      <c r="I109" s="16"/>
      <c r="J109" s="16"/>
      <c r="K109" s="16"/>
      <c r="L109" s="16"/>
      <c r="M109" s="16"/>
    </row>
    <row r="110">
      <c r="A110" s="13"/>
      <c r="B110" s="13"/>
      <c r="C110" s="17"/>
      <c r="E110" s="14"/>
      <c r="F110" s="13"/>
      <c r="G110" s="14"/>
      <c r="H110" s="15"/>
      <c r="I110" s="16"/>
      <c r="J110" s="16"/>
      <c r="K110" s="16"/>
      <c r="L110" s="16"/>
      <c r="M110" s="16"/>
    </row>
    <row r="111">
      <c r="A111" s="13"/>
      <c r="B111" s="13"/>
      <c r="C111" s="17"/>
      <c r="E111" s="14"/>
      <c r="F111" s="13"/>
      <c r="G111" s="14"/>
      <c r="H111" s="15"/>
      <c r="I111" s="16"/>
      <c r="J111" s="16"/>
      <c r="K111" s="16"/>
      <c r="L111" s="16"/>
      <c r="M111" s="16"/>
    </row>
    <row r="112">
      <c r="A112" s="13"/>
      <c r="B112" s="13"/>
      <c r="C112" s="17"/>
      <c r="E112" s="14"/>
      <c r="F112" s="13"/>
      <c r="G112" s="14"/>
      <c r="H112" s="15"/>
      <c r="I112" s="16"/>
      <c r="J112" s="16"/>
      <c r="K112" s="16"/>
      <c r="L112" s="16"/>
      <c r="M112" s="16"/>
    </row>
    <row r="113">
      <c r="A113" s="13"/>
      <c r="B113" s="13"/>
      <c r="C113" s="17"/>
      <c r="E113" s="14"/>
      <c r="F113" s="13"/>
      <c r="G113" s="14"/>
      <c r="H113" s="15"/>
      <c r="I113" s="16"/>
      <c r="J113" s="16"/>
      <c r="K113" s="16"/>
      <c r="L113" s="16"/>
      <c r="M113" s="16"/>
    </row>
    <row r="114">
      <c r="A114" s="13"/>
      <c r="B114" s="13"/>
      <c r="C114" s="17"/>
      <c r="E114" s="14"/>
      <c r="F114" s="13"/>
      <c r="G114" s="14"/>
      <c r="H114" s="15"/>
      <c r="I114" s="16"/>
      <c r="J114" s="16"/>
      <c r="K114" s="16"/>
      <c r="L114" s="16"/>
      <c r="M114" s="16"/>
    </row>
    <row r="115">
      <c r="A115" s="13"/>
      <c r="B115" s="13"/>
      <c r="C115" s="17"/>
      <c r="E115" s="14"/>
      <c r="F115" s="13"/>
      <c r="G115" s="14"/>
      <c r="H115" s="15"/>
      <c r="I115" s="16"/>
      <c r="J115" s="16"/>
      <c r="K115" s="16"/>
      <c r="L115" s="16"/>
      <c r="M115" s="16"/>
    </row>
    <row r="116">
      <c r="A116" s="13"/>
      <c r="B116" s="13"/>
      <c r="C116" s="17"/>
      <c r="E116" s="14"/>
      <c r="F116" s="13"/>
      <c r="G116" s="14"/>
      <c r="H116" s="15"/>
      <c r="I116" s="16"/>
      <c r="J116" s="16"/>
      <c r="K116" s="16"/>
      <c r="L116" s="16"/>
      <c r="M116" s="16"/>
    </row>
    <row r="117">
      <c r="A117" s="13"/>
      <c r="B117" s="13"/>
      <c r="C117" s="17"/>
      <c r="E117" s="14"/>
      <c r="F117" s="13"/>
      <c r="G117" s="14"/>
      <c r="H117" s="15"/>
      <c r="I117" s="16"/>
      <c r="J117" s="16"/>
      <c r="K117" s="16"/>
      <c r="L117" s="16"/>
      <c r="M117" s="16"/>
    </row>
    <row r="118">
      <c r="A118" s="13"/>
      <c r="B118" s="13"/>
      <c r="C118" s="17"/>
      <c r="E118" s="14"/>
      <c r="F118" s="13"/>
      <c r="G118" s="14"/>
      <c r="H118" s="15"/>
      <c r="I118" s="16"/>
      <c r="J118" s="16"/>
      <c r="K118" s="16"/>
      <c r="L118" s="16"/>
      <c r="M118" s="16"/>
    </row>
    <row r="119">
      <c r="A119" s="13"/>
      <c r="B119" s="13"/>
      <c r="C119" s="17"/>
      <c r="E119" s="14"/>
      <c r="F119" s="13"/>
      <c r="G119" s="14"/>
      <c r="H119" s="15"/>
      <c r="I119" s="16"/>
      <c r="J119" s="16"/>
      <c r="K119" s="16"/>
      <c r="L119" s="16"/>
      <c r="M119" s="16"/>
    </row>
    <row r="120">
      <c r="A120" s="13"/>
      <c r="B120" s="13"/>
      <c r="C120" s="17"/>
      <c r="E120" s="14"/>
      <c r="F120" s="13"/>
      <c r="G120" s="14"/>
      <c r="H120" s="15"/>
      <c r="I120" s="16"/>
      <c r="J120" s="16"/>
      <c r="K120" s="16"/>
      <c r="L120" s="16"/>
      <c r="M120" s="16"/>
    </row>
    <row r="121">
      <c r="A121" s="13"/>
      <c r="B121" s="13"/>
      <c r="C121" s="17"/>
      <c r="E121" s="14"/>
      <c r="F121" s="13"/>
      <c r="G121" s="14"/>
      <c r="H121" s="15"/>
      <c r="I121" s="16"/>
      <c r="J121" s="16"/>
      <c r="K121" s="16"/>
      <c r="L121" s="16"/>
      <c r="M121" s="16"/>
    </row>
    <row r="122">
      <c r="A122" s="13"/>
      <c r="B122" s="13"/>
      <c r="C122" s="17"/>
      <c r="E122" s="14"/>
      <c r="F122" s="13"/>
      <c r="G122" s="14"/>
      <c r="H122" s="15"/>
      <c r="I122" s="16"/>
      <c r="J122" s="16"/>
      <c r="K122" s="16"/>
      <c r="L122" s="16"/>
      <c r="M122" s="16"/>
    </row>
    <row r="123">
      <c r="A123" s="13"/>
      <c r="B123" s="13"/>
      <c r="C123" s="17"/>
      <c r="E123" s="14"/>
      <c r="F123" s="13"/>
      <c r="G123" s="14"/>
      <c r="H123" s="15"/>
      <c r="I123" s="16"/>
      <c r="J123" s="16"/>
      <c r="K123" s="16"/>
      <c r="L123" s="16"/>
      <c r="M123" s="16"/>
    </row>
    <row r="124">
      <c r="A124" s="13"/>
      <c r="B124" s="13"/>
      <c r="C124" s="17"/>
      <c r="E124" s="14"/>
      <c r="F124" s="13"/>
      <c r="G124" s="14"/>
      <c r="H124" s="15"/>
      <c r="I124" s="16"/>
      <c r="J124" s="16"/>
      <c r="K124" s="16"/>
      <c r="L124" s="16"/>
      <c r="M124" s="16"/>
    </row>
    <row r="125">
      <c r="A125" s="13"/>
      <c r="B125" s="13"/>
      <c r="C125" s="17"/>
      <c r="E125" s="14"/>
      <c r="F125" s="13"/>
      <c r="G125" s="14"/>
      <c r="H125" s="15"/>
      <c r="I125" s="16"/>
      <c r="J125" s="16"/>
      <c r="K125" s="16"/>
      <c r="L125" s="16"/>
      <c r="M125" s="16"/>
    </row>
    <row r="126">
      <c r="A126" s="13"/>
      <c r="B126" s="13"/>
      <c r="C126" s="17"/>
      <c r="E126" s="14"/>
      <c r="F126" s="13"/>
      <c r="G126" s="14"/>
      <c r="H126" s="15"/>
      <c r="I126" s="16"/>
      <c r="J126" s="16"/>
      <c r="K126" s="16"/>
      <c r="L126" s="16"/>
      <c r="M126" s="16"/>
    </row>
    <row r="127">
      <c r="A127" s="13"/>
      <c r="B127" s="13"/>
      <c r="C127" s="17"/>
      <c r="E127" s="14"/>
      <c r="F127" s="13"/>
      <c r="G127" s="14"/>
      <c r="H127" s="15"/>
      <c r="I127" s="16"/>
      <c r="J127" s="16"/>
      <c r="K127" s="16"/>
      <c r="L127" s="16"/>
      <c r="M127" s="16"/>
    </row>
    <row r="128">
      <c r="A128" s="13"/>
      <c r="B128" s="13"/>
      <c r="C128" s="17"/>
      <c r="E128" s="14"/>
      <c r="F128" s="13"/>
      <c r="G128" s="14"/>
      <c r="H128" s="15"/>
      <c r="I128" s="16"/>
      <c r="J128" s="16"/>
      <c r="K128" s="16"/>
      <c r="L128" s="16"/>
      <c r="M128" s="16"/>
    </row>
    <row r="129">
      <c r="A129" s="13"/>
      <c r="B129" s="13"/>
      <c r="C129" s="17"/>
      <c r="E129" s="14"/>
      <c r="F129" s="13"/>
      <c r="G129" s="14"/>
      <c r="H129" s="15"/>
      <c r="I129" s="16"/>
      <c r="J129" s="16"/>
      <c r="K129" s="16"/>
      <c r="L129" s="16"/>
      <c r="M129" s="16"/>
    </row>
    <row r="130">
      <c r="A130" s="13"/>
      <c r="B130" s="13"/>
      <c r="C130" s="17"/>
      <c r="E130" s="14"/>
      <c r="F130" s="13"/>
      <c r="G130" s="14"/>
      <c r="H130" s="15"/>
      <c r="I130" s="16"/>
      <c r="J130" s="16"/>
      <c r="K130" s="16"/>
      <c r="L130" s="16"/>
      <c r="M130" s="16"/>
    </row>
    <row r="131">
      <c r="A131" s="13"/>
      <c r="B131" s="13"/>
      <c r="C131" s="17"/>
      <c r="E131" s="14"/>
      <c r="F131" s="13"/>
      <c r="G131" s="14"/>
      <c r="H131" s="15"/>
      <c r="I131" s="16"/>
      <c r="J131" s="16"/>
      <c r="K131" s="16"/>
      <c r="L131" s="16"/>
      <c r="M131" s="16"/>
    </row>
    <row r="132">
      <c r="A132" s="13"/>
      <c r="B132" s="13"/>
      <c r="C132" s="17"/>
      <c r="E132" s="14"/>
      <c r="F132" s="13"/>
      <c r="G132" s="14"/>
      <c r="H132" s="15"/>
      <c r="I132" s="16"/>
      <c r="J132" s="16"/>
      <c r="K132" s="16"/>
      <c r="L132" s="16"/>
      <c r="M132" s="16"/>
    </row>
    <row r="133">
      <c r="A133" s="13"/>
      <c r="B133" s="13"/>
      <c r="C133" s="17"/>
      <c r="E133" s="14"/>
      <c r="F133" s="13"/>
      <c r="G133" s="14"/>
      <c r="H133" s="15"/>
      <c r="I133" s="16"/>
      <c r="J133" s="16"/>
      <c r="K133" s="16"/>
      <c r="L133" s="16"/>
      <c r="M133" s="16"/>
    </row>
    <row r="134">
      <c r="A134" s="13"/>
      <c r="B134" s="13"/>
      <c r="C134" s="17"/>
      <c r="E134" s="14"/>
      <c r="F134" s="13"/>
      <c r="G134" s="14"/>
      <c r="H134" s="15"/>
      <c r="I134" s="16"/>
      <c r="J134" s="16"/>
      <c r="K134" s="16"/>
      <c r="L134" s="16"/>
      <c r="M134" s="16"/>
    </row>
    <row r="135">
      <c r="A135" s="13"/>
      <c r="B135" s="13"/>
      <c r="C135" s="17"/>
      <c r="E135" s="14"/>
      <c r="F135" s="13"/>
      <c r="G135" s="14"/>
      <c r="H135" s="15"/>
      <c r="I135" s="16"/>
      <c r="J135" s="16"/>
      <c r="K135" s="16"/>
      <c r="L135" s="16"/>
      <c r="M135" s="16"/>
    </row>
    <row r="136">
      <c r="A136" s="13"/>
      <c r="B136" s="13"/>
      <c r="C136" s="17"/>
      <c r="E136" s="14"/>
      <c r="F136" s="13"/>
      <c r="G136" s="14"/>
      <c r="H136" s="15"/>
      <c r="I136" s="16"/>
      <c r="J136" s="16"/>
      <c r="K136" s="16"/>
      <c r="L136" s="16"/>
      <c r="M136" s="16"/>
    </row>
    <row r="137">
      <c r="A137" s="13"/>
      <c r="B137" s="13"/>
      <c r="C137" s="17"/>
      <c r="E137" s="14"/>
      <c r="F137" s="13"/>
      <c r="G137" s="14"/>
      <c r="H137" s="15"/>
      <c r="I137" s="16"/>
      <c r="J137" s="16"/>
      <c r="K137" s="16"/>
      <c r="L137" s="16"/>
      <c r="M137" s="16"/>
    </row>
    <row r="138">
      <c r="A138" s="13"/>
      <c r="B138" s="13"/>
      <c r="C138" s="17"/>
      <c r="E138" s="14"/>
      <c r="F138" s="13"/>
      <c r="G138" s="14"/>
      <c r="H138" s="15"/>
      <c r="I138" s="16"/>
      <c r="J138" s="16"/>
      <c r="K138" s="16"/>
      <c r="L138" s="16"/>
      <c r="M138" s="16"/>
    </row>
    <row r="139">
      <c r="A139" s="13"/>
      <c r="B139" s="13"/>
      <c r="C139" s="17"/>
      <c r="E139" s="14"/>
      <c r="F139" s="13"/>
      <c r="G139" s="14"/>
      <c r="H139" s="15"/>
      <c r="I139" s="16"/>
      <c r="J139" s="16"/>
      <c r="K139" s="16"/>
      <c r="L139" s="16"/>
      <c r="M139" s="16"/>
    </row>
    <row r="140">
      <c r="A140" s="13"/>
      <c r="B140" s="13"/>
      <c r="C140" s="17"/>
      <c r="E140" s="14"/>
      <c r="F140" s="13"/>
      <c r="G140" s="14"/>
      <c r="H140" s="15"/>
      <c r="I140" s="16"/>
      <c r="J140" s="16"/>
      <c r="K140" s="16"/>
      <c r="L140" s="16"/>
      <c r="M140" s="16"/>
    </row>
    <row r="141">
      <c r="A141" s="13"/>
      <c r="B141" s="13"/>
      <c r="C141" s="17"/>
      <c r="E141" s="14"/>
      <c r="F141" s="13"/>
      <c r="G141" s="14"/>
      <c r="H141" s="15"/>
      <c r="I141" s="16"/>
      <c r="J141" s="16"/>
      <c r="K141" s="16"/>
      <c r="L141" s="16"/>
      <c r="M141" s="16"/>
    </row>
    <row r="142">
      <c r="A142" s="13"/>
      <c r="B142" s="13"/>
      <c r="C142" s="17"/>
      <c r="E142" s="14"/>
      <c r="F142" s="13"/>
      <c r="G142" s="14"/>
      <c r="H142" s="15"/>
      <c r="I142" s="16"/>
      <c r="J142" s="16"/>
      <c r="K142" s="16"/>
      <c r="L142" s="16"/>
      <c r="M142" s="16"/>
    </row>
    <row r="143">
      <c r="A143" s="13"/>
      <c r="B143" s="13"/>
      <c r="C143" s="17"/>
      <c r="E143" s="14"/>
      <c r="F143" s="13"/>
      <c r="G143" s="14"/>
      <c r="H143" s="15"/>
      <c r="I143" s="16"/>
      <c r="J143" s="16"/>
      <c r="K143" s="16"/>
      <c r="L143" s="16"/>
      <c r="M143" s="16"/>
    </row>
    <row r="144">
      <c r="A144" s="13"/>
      <c r="B144" s="13"/>
      <c r="C144" s="17"/>
      <c r="E144" s="14"/>
      <c r="F144" s="13"/>
      <c r="G144" s="14"/>
      <c r="H144" s="15"/>
      <c r="I144" s="16"/>
      <c r="J144" s="16"/>
      <c r="K144" s="16"/>
      <c r="L144" s="16"/>
      <c r="M144" s="16"/>
    </row>
    <row r="145">
      <c r="A145" s="13"/>
      <c r="B145" s="13"/>
      <c r="C145" s="17"/>
      <c r="E145" s="14"/>
      <c r="F145" s="13"/>
      <c r="G145" s="14"/>
      <c r="H145" s="15"/>
      <c r="I145" s="16"/>
      <c r="J145" s="16"/>
      <c r="K145" s="16"/>
      <c r="L145" s="16"/>
      <c r="M145" s="16"/>
    </row>
    <row r="146">
      <c r="A146" s="13"/>
      <c r="B146" s="13"/>
      <c r="C146" s="17"/>
      <c r="E146" s="14"/>
      <c r="F146" s="13"/>
      <c r="G146" s="14"/>
      <c r="H146" s="15"/>
      <c r="I146" s="16"/>
      <c r="J146" s="16"/>
      <c r="K146" s="16"/>
      <c r="L146" s="16"/>
      <c r="M146" s="16"/>
    </row>
    <row r="147">
      <c r="A147" s="13"/>
      <c r="B147" s="13"/>
      <c r="C147" s="17"/>
      <c r="E147" s="14"/>
      <c r="F147" s="13"/>
      <c r="G147" s="14"/>
      <c r="H147" s="15"/>
      <c r="I147" s="16"/>
      <c r="J147" s="16"/>
      <c r="K147" s="16"/>
      <c r="L147" s="16"/>
      <c r="M147" s="16"/>
    </row>
    <row r="148">
      <c r="A148" s="13"/>
      <c r="B148" s="13"/>
      <c r="C148" s="17"/>
      <c r="E148" s="14"/>
      <c r="F148" s="13"/>
      <c r="G148" s="14"/>
      <c r="H148" s="15"/>
      <c r="I148" s="16"/>
      <c r="J148" s="16"/>
      <c r="K148" s="16"/>
      <c r="L148" s="16"/>
      <c r="M148" s="16"/>
    </row>
    <row r="149">
      <c r="A149" s="13"/>
      <c r="B149" s="13"/>
      <c r="C149" s="17"/>
      <c r="E149" s="14"/>
      <c r="F149" s="13"/>
      <c r="G149" s="14"/>
      <c r="H149" s="15"/>
      <c r="I149" s="16"/>
      <c r="J149" s="16"/>
      <c r="K149" s="16"/>
      <c r="L149" s="16"/>
      <c r="M149" s="16"/>
    </row>
    <row r="150">
      <c r="A150" s="13"/>
      <c r="B150" s="13"/>
      <c r="C150" s="17"/>
      <c r="E150" s="14"/>
      <c r="F150" s="13"/>
      <c r="G150" s="14"/>
      <c r="H150" s="15"/>
      <c r="I150" s="16"/>
      <c r="J150" s="16"/>
      <c r="K150" s="16"/>
      <c r="L150" s="16"/>
      <c r="M150" s="16"/>
    </row>
    <row r="151">
      <c r="A151" s="13"/>
      <c r="B151" s="13"/>
      <c r="C151" s="17"/>
      <c r="E151" s="14"/>
      <c r="F151" s="13"/>
      <c r="G151" s="14"/>
      <c r="H151" s="15"/>
      <c r="I151" s="16"/>
      <c r="J151" s="16"/>
      <c r="K151" s="16"/>
      <c r="L151" s="16"/>
      <c r="M151" s="16"/>
    </row>
    <row r="152">
      <c r="A152" s="13"/>
      <c r="B152" s="13"/>
      <c r="C152" s="17"/>
      <c r="E152" s="14"/>
      <c r="F152" s="13"/>
      <c r="G152" s="14"/>
      <c r="H152" s="15"/>
      <c r="I152" s="16"/>
      <c r="J152" s="16"/>
      <c r="K152" s="16"/>
      <c r="L152" s="16"/>
      <c r="M152" s="16"/>
    </row>
    <row r="153">
      <c r="A153" s="13"/>
      <c r="B153" s="13"/>
      <c r="C153" s="17"/>
      <c r="E153" s="14"/>
      <c r="F153" s="13"/>
      <c r="G153" s="14"/>
      <c r="H153" s="15"/>
      <c r="I153" s="16"/>
      <c r="J153" s="16"/>
      <c r="K153" s="16"/>
      <c r="L153" s="16"/>
      <c r="M153" s="16"/>
    </row>
    <row r="154">
      <c r="A154" s="13"/>
      <c r="B154" s="13"/>
      <c r="C154" s="17"/>
      <c r="E154" s="14"/>
      <c r="F154" s="13"/>
      <c r="G154" s="14"/>
      <c r="H154" s="15"/>
      <c r="I154" s="16"/>
      <c r="J154" s="16"/>
      <c r="K154" s="16"/>
      <c r="L154" s="16"/>
      <c r="M154" s="16"/>
    </row>
    <row r="155">
      <c r="A155" s="13"/>
      <c r="B155" s="13"/>
      <c r="C155" s="17"/>
      <c r="E155" s="14"/>
      <c r="F155" s="13"/>
      <c r="G155" s="14"/>
      <c r="H155" s="15"/>
      <c r="I155" s="16"/>
      <c r="J155" s="16"/>
      <c r="K155" s="16"/>
      <c r="L155" s="16"/>
      <c r="M155" s="16"/>
    </row>
    <row r="156">
      <c r="A156" s="13"/>
      <c r="B156" s="13"/>
      <c r="C156" s="17"/>
      <c r="E156" s="14"/>
      <c r="F156" s="13"/>
      <c r="G156" s="14"/>
      <c r="H156" s="15"/>
      <c r="I156" s="16"/>
      <c r="J156" s="16"/>
      <c r="K156" s="16"/>
      <c r="L156" s="16"/>
      <c r="M156" s="16"/>
    </row>
    <row r="157">
      <c r="A157" s="13"/>
      <c r="B157" s="13"/>
      <c r="C157" s="17"/>
      <c r="E157" s="14"/>
      <c r="F157" s="13"/>
      <c r="G157" s="14"/>
      <c r="H157" s="15"/>
      <c r="I157" s="16"/>
      <c r="J157" s="16"/>
      <c r="K157" s="16"/>
      <c r="L157" s="16"/>
      <c r="M157" s="16"/>
    </row>
    <row r="158">
      <c r="A158" s="13"/>
      <c r="B158" s="13"/>
      <c r="C158" s="17"/>
      <c r="E158" s="14"/>
      <c r="F158" s="13"/>
      <c r="G158" s="14"/>
      <c r="H158" s="15"/>
      <c r="I158" s="16"/>
      <c r="J158" s="16"/>
      <c r="K158" s="16"/>
      <c r="L158" s="16"/>
      <c r="M158" s="16"/>
    </row>
    <row r="159">
      <c r="A159" s="13"/>
      <c r="B159" s="13"/>
      <c r="C159" s="17"/>
      <c r="E159" s="14"/>
      <c r="F159" s="13"/>
      <c r="G159" s="14"/>
      <c r="H159" s="15"/>
      <c r="I159" s="16"/>
      <c r="J159" s="16"/>
      <c r="K159" s="16"/>
      <c r="L159" s="16"/>
      <c r="M159" s="16"/>
    </row>
    <row r="160">
      <c r="A160" s="13"/>
      <c r="B160" s="13"/>
      <c r="C160" s="17"/>
      <c r="E160" s="14"/>
      <c r="F160" s="13"/>
      <c r="G160" s="14"/>
      <c r="H160" s="15"/>
      <c r="I160" s="16"/>
      <c r="J160" s="16"/>
      <c r="K160" s="16"/>
      <c r="L160" s="16"/>
      <c r="M160" s="16"/>
    </row>
    <row r="161">
      <c r="A161" s="13"/>
      <c r="B161" s="13"/>
      <c r="C161" s="17"/>
      <c r="E161" s="14"/>
      <c r="F161" s="13"/>
      <c r="G161" s="14"/>
      <c r="H161" s="15"/>
      <c r="I161" s="16"/>
      <c r="J161" s="16"/>
      <c r="K161" s="16"/>
      <c r="L161" s="16"/>
      <c r="M161" s="16"/>
    </row>
    <row r="162">
      <c r="A162" s="13"/>
      <c r="B162" s="13"/>
      <c r="C162" s="17"/>
      <c r="E162" s="14"/>
      <c r="F162" s="13"/>
      <c r="G162" s="14"/>
      <c r="H162" s="15"/>
      <c r="I162" s="16"/>
      <c r="J162" s="16"/>
      <c r="K162" s="16"/>
      <c r="L162" s="16"/>
      <c r="M162" s="16"/>
    </row>
    <row r="163">
      <c r="A163" s="13"/>
      <c r="B163" s="13"/>
      <c r="C163" s="17"/>
      <c r="E163" s="14"/>
      <c r="F163" s="13"/>
      <c r="G163" s="14"/>
      <c r="H163" s="15"/>
      <c r="I163" s="16"/>
      <c r="J163" s="16"/>
      <c r="K163" s="16"/>
      <c r="L163" s="16"/>
      <c r="M163" s="16"/>
    </row>
    <row r="164">
      <c r="A164" s="13"/>
      <c r="B164" s="13"/>
      <c r="C164" s="17"/>
      <c r="E164" s="14"/>
      <c r="F164" s="13"/>
      <c r="G164" s="14"/>
      <c r="H164" s="15"/>
      <c r="I164" s="16"/>
      <c r="J164" s="16"/>
      <c r="K164" s="16"/>
      <c r="L164" s="16"/>
      <c r="M164" s="16"/>
    </row>
    <row r="165">
      <c r="A165" s="13"/>
      <c r="B165" s="13"/>
      <c r="C165" s="17"/>
      <c r="E165" s="14"/>
      <c r="F165" s="13"/>
      <c r="G165" s="14"/>
      <c r="H165" s="15"/>
      <c r="I165" s="16"/>
      <c r="J165" s="16"/>
      <c r="K165" s="16"/>
      <c r="L165" s="16"/>
      <c r="M165" s="16"/>
    </row>
    <row r="166">
      <c r="A166" s="13"/>
      <c r="B166" s="13"/>
      <c r="C166" s="17"/>
      <c r="E166" s="14"/>
      <c r="F166" s="13"/>
      <c r="G166" s="14"/>
      <c r="H166" s="15"/>
      <c r="I166" s="16"/>
      <c r="J166" s="16"/>
      <c r="K166" s="16"/>
      <c r="L166" s="16"/>
      <c r="M166" s="16"/>
    </row>
    <row r="167">
      <c r="A167" s="13"/>
      <c r="B167" s="13"/>
      <c r="C167" s="17"/>
      <c r="E167" s="14"/>
      <c r="F167" s="13"/>
      <c r="G167" s="14"/>
      <c r="H167" s="15"/>
      <c r="I167" s="16"/>
      <c r="J167" s="16"/>
      <c r="K167" s="16"/>
      <c r="L167" s="16"/>
      <c r="M167" s="16"/>
    </row>
    <row r="168">
      <c r="A168" s="13"/>
      <c r="B168" s="13"/>
      <c r="C168" s="17"/>
      <c r="E168" s="14"/>
      <c r="F168" s="13"/>
      <c r="G168" s="14"/>
      <c r="H168" s="15"/>
      <c r="I168" s="16"/>
      <c r="J168" s="16"/>
      <c r="K168" s="16"/>
      <c r="L168" s="16"/>
      <c r="M168" s="16"/>
    </row>
    <row r="169">
      <c r="A169" s="13"/>
      <c r="B169" s="13"/>
      <c r="C169" s="17"/>
      <c r="E169" s="14"/>
      <c r="F169" s="13"/>
      <c r="G169" s="14"/>
      <c r="H169" s="15"/>
      <c r="I169" s="16"/>
      <c r="J169" s="16"/>
      <c r="K169" s="16"/>
      <c r="L169" s="16"/>
      <c r="M169" s="16"/>
    </row>
    <row r="170">
      <c r="A170" s="13"/>
      <c r="B170" s="13"/>
      <c r="C170" s="17"/>
      <c r="E170" s="14"/>
      <c r="F170" s="13"/>
      <c r="G170" s="14"/>
      <c r="H170" s="15"/>
      <c r="I170" s="16"/>
      <c r="J170" s="16"/>
      <c r="K170" s="16"/>
      <c r="L170" s="16"/>
      <c r="M170" s="16"/>
    </row>
    <row r="171">
      <c r="A171" s="13"/>
      <c r="B171" s="13"/>
      <c r="C171" s="17"/>
      <c r="E171" s="14"/>
      <c r="F171" s="13"/>
      <c r="G171" s="14"/>
      <c r="H171" s="15"/>
      <c r="I171" s="16"/>
      <c r="J171" s="16"/>
      <c r="K171" s="16"/>
      <c r="L171" s="16"/>
      <c r="M171" s="16"/>
    </row>
    <row r="172">
      <c r="A172" s="13"/>
      <c r="B172" s="13"/>
      <c r="C172" s="17"/>
      <c r="E172" s="14"/>
      <c r="F172" s="13"/>
      <c r="G172" s="14"/>
      <c r="H172" s="15"/>
      <c r="I172" s="16"/>
      <c r="J172" s="16"/>
      <c r="K172" s="16"/>
      <c r="L172" s="16"/>
      <c r="M172" s="16"/>
    </row>
    <row r="173">
      <c r="A173" s="13"/>
      <c r="B173" s="13"/>
      <c r="C173" s="17"/>
      <c r="E173" s="14"/>
      <c r="F173" s="13"/>
      <c r="G173" s="14"/>
      <c r="H173" s="15"/>
      <c r="I173" s="16"/>
      <c r="J173" s="16"/>
      <c r="K173" s="16"/>
      <c r="L173" s="16"/>
      <c r="M173" s="16"/>
    </row>
    <row r="174">
      <c r="A174" s="13"/>
      <c r="B174" s="13"/>
      <c r="C174" s="17"/>
      <c r="E174" s="14"/>
      <c r="F174" s="13"/>
      <c r="G174" s="14"/>
      <c r="H174" s="15"/>
      <c r="I174" s="16"/>
      <c r="J174" s="16"/>
      <c r="K174" s="16"/>
      <c r="L174" s="16"/>
      <c r="M174" s="16"/>
    </row>
    <row r="175">
      <c r="A175" s="13"/>
      <c r="B175" s="13"/>
      <c r="C175" s="17"/>
      <c r="E175" s="14"/>
      <c r="F175" s="13"/>
      <c r="G175" s="14"/>
      <c r="H175" s="15"/>
      <c r="I175" s="16"/>
      <c r="J175" s="16"/>
      <c r="K175" s="16"/>
      <c r="L175" s="16"/>
      <c r="M175" s="16"/>
    </row>
    <row r="176">
      <c r="A176" s="13"/>
      <c r="B176" s="13"/>
      <c r="C176" s="17"/>
      <c r="E176" s="14"/>
      <c r="F176" s="13"/>
      <c r="G176" s="14"/>
      <c r="H176" s="15"/>
      <c r="I176" s="16"/>
      <c r="J176" s="16"/>
      <c r="K176" s="16"/>
      <c r="L176" s="16"/>
      <c r="M176" s="16"/>
    </row>
    <row r="177">
      <c r="A177" s="13"/>
      <c r="B177" s="13"/>
      <c r="C177" s="17"/>
      <c r="E177" s="14"/>
      <c r="F177" s="13"/>
      <c r="G177" s="14"/>
      <c r="H177" s="15"/>
      <c r="I177" s="16"/>
      <c r="J177" s="16"/>
      <c r="K177" s="16"/>
      <c r="L177" s="16"/>
      <c r="M177" s="16"/>
    </row>
    <row r="178">
      <c r="A178" s="13"/>
      <c r="B178" s="13"/>
      <c r="C178" s="17"/>
      <c r="E178" s="14"/>
      <c r="F178" s="13"/>
      <c r="G178" s="14"/>
      <c r="H178" s="15"/>
      <c r="I178" s="16"/>
      <c r="J178" s="16"/>
      <c r="K178" s="16"/>
      <c r="L178" s="16"/>
      <c r="M178" s="16"/>
    </row>
    <row r="179">
      <c r="A179" s="13"/>
      <c r="B179" s="13"/>
      <c r="C179" s="17"/>
      <c r="E179" s="14"/>
      <c r="F179" s="13"/>
      <c r="G179" s="14"/>
      <c r="H179" s="15"/>
      <c r="I179" s="16"/>
      <c r="J179" s="16"/>
      <c r="K179" s="16"/>
      <c r="L179" s="16"/>
      <c r="M179" s="16"/>
    </row>
    <row r="180">
      <c r="A180" s="13"/>
      <c r="B180" s="13"/>
      <c r="C180" s="17"/>
      <c r="E180" s="14"/>
      <c r="F180" s="13"/>
      <c r="G180" s="14"/>
      <c r="H180" s="15"/>
      <c r="I180" s="16"/>
      <c r="J180" s="16"/>
      <c r="K180" s="16"/>
      <c r="L180" s="16"/>
      <c r="M180" s="16"/>
    </row>
    <row r="181">
      <c r="A181" s="13"/>
      <c r="B181" s="13"/>
      <c r="C181" s="17"/>
      <c r="E181" s="14"/>
      <c r="F181" s="13"/>
      <c r="G181" s="14"/>
      <c r="H181" s="15"/>
      <c r="I181" s="16"/>
      <c r="J181" s="16"/>
      <c r="K181" s="16"/>
      <c r="L181" s="16"/>
      <c r="M181" s="16"/>
    </row>
    <row r="182">
      <c r="A182" s="13"/>
      <c r="B182" s="13"/>
      <c r="C182" s="17"/>
      <c r="E182" s="14"/>
      <c r="F182" s="13"/>
      <c r="G182" s="14"/>
      <c r="H182" s="15"/>
      <c r="I182" s="16"/>
      <c r="J182" s="16"/>
      <c r="K182" s="16"/>
      <c r="L182" s="16"/>
      <c r="M182" s="16"/>
    </row>
    <row r="183">
      <c r="A183" s="13"/>
      <c r="B183" s="13"/>
      <c r="C183" s="17"/>
      <c r="E183" s="14"/>
      <c r="F183" s="13"/>
      <c r="G183" s="14"/>
      <c r="H183" s="15"/>
      <c r="I183" s="16"/>
      <c r="J183" s="16"/>
      <c r="K183" s="16"/>
      <c r="L183" s="16"/>
      <c r="M183" s="16"/>
    </row>
    <row r="184">
      <c r="A184" s="13"/>
      <c r="B184" s="13"/>
      <c r="C184" s="17"/>
      <c r="E184" s="14"/>
      <c r="F184" s="13"/>
      <c r="G184" s="14"/>
      <c r="H184" s="15"/>
      <c r="I184" s="16"/>
      <c r="J184" s="16"/>
      <c r="K184" s="16"/>
      <c r="L184" s="16"/>
      <c r="M184" s="16"/>
    </row>
    <row r="185">
      <c r="A185" s="13"/>
      <c r="B185" s="13"/>
      <c r="C185" s="17"/>
      <c r="E185" s="14"/>
      <c r="F185" s="13"/>
      <c r="G185" s="14"/>
      <c r="H185" s="15"/>
      <c r="I185" s="16"/>
      <c r="J185" s="16"/>
      <c r="K185" s="16"/>
      <c r="L185" s="16"/>
      <c r="M185" s="16"/>
    </row>
    <row r="186">
      <c r="A186" s="13"/>
      <c r="B186" s="13"/>
      <c r="C186" s="17"/>
      <c r="E186" s="14"/>
      <c r="F186" s="13"/>
      <c r="G186" s="14"/>
      <c r="H186" s="15"/>
      <c r="I186" s="16"/>
      <c r="J186" s="16"/>
      <c r="K186" s="16"/>
      <c r="L186" s="16"/>
      <c r="M186" s="16"/>
    </row>
    <row r="187">
      <c r="A187" s="13"/>
      <c r="B187" s="13"/>
      <c r="C187" s="17"/>
      <c r="E187" s="14"/>
      <c r="F187" s="13"/>
      <c r="G187" s="14"/>
      <c r="H187" s="15"/>
      <c r="I187" s="16"/>
      <c r="J187" s="16"/>
      <c r="K187" s="16"/>
      <c r="L187" s="16"/>
      <c r="M187" s="16"/>
    </row>
    <row r="188">
      <c r="A188" s="13"/>
      <c r="B188" s="13"/>
      <c r="C188" s="17"/>
      <c r="E188" s="14"/>
      <c r="F188" s="13"/>
      <c r="G188" s="14"/>
      <c r="H188" s="15"/>
      <c r="I188" s="16"/>
      <c r="J188" s="16"/>
      <c r="K188" s="16"/>
      <c r="L188" s="16"/>
      <c r="M188" s="16"/>
    </row>
    <row r="189">
      <c r="A189" s="13"/>
      <c r="B189" s="13"/>
      <c r="C189" s="17"/>
      <c r="E189" s="14"/>
      <c r="F189" s="13"/>
      <c r="G189" s="14"/>
      <c r="H189" s="15"/>
      <c r="I189" s="16"/>
      <c r="J189" s="16"/>
      <c r="K189" s="16"/>
      <c r="L189" s="16"/>
      <c r="M189" s="16"/>
    </row>
    <row r="190">
      <c r="A190" s="13"/>
      <c r="B190" s="13"/>
      <c r="C190" s="17"/>
      <c r="E190" s="14"/>
      <c r="F190" s="13"/>
      <c r="G190" s="14"/>
      <c r="H190" s="15"/>
      <c r="I190" s="16"/>
      <c r="J190" s="16"/>
      <c r="K190" s="16"/>
      <c r="L190" s="16"/>
      <c r="M190" s="16"/>
    </row>
    <row r="191">
      <c r="A191" s="13"/>
      <c r="B191" s="13"/>
      <c r="C191" s="17"/>
      <c r="E191" s="14"/>
      <c r="F191" s="13"/>
      <c r="G191" s="14"/>
      <c r="H191" s="15"/>
      <c r="I191" s="16"/>
      <c r="J191" s="16"/>
      <c r="K191" s="16"/>
      <c r="L191" s="16"/>
      <c r="M191" s="16"/>
    </row>
    <row r="192">
      <c r="A192" s="13"/>
      <c r="B192" s="13"/>
      <c r="C192" s="17"/>
      <c r="E192" s="14"/>
      <c r="F192" s="13"/>
      <c r="G192" s="14"/>
      <c r="H192" s="15"/>
      <c r="I192" s="16"/>
      <c r="J192" s="16"/>
      <c r="K192" s="16"/>
      <c r="L192" s="16"/>
      <c r="M192" s="16"/>
    </row>
    <row r="193">
      <c r="A193" s="13"/>
      <c r="B193" s="13"/>
      <c r="C193" s="17"/>
      <c r="E193" s="14"/>
      <c r="F193" s="13"/>
      <c r="G193" s="14"/>
      <c r="H193" s="15"/>
      <c r="I193" s="16"/>
      <c r="J193" s="16"/>
      <c r="K193" s="16"/>
      <c r="L193" s="16"/>
      <c r="M193" s="16"/>
    </row>
    <row r="194">
      <c r="A194" s="13"/>
      <c r="B194" s="13"/>
      <c r="C194" s="17"/>
      <c r="E194" s="14"/>
      <c r="F194" s="13"/>
      <c r="G194" s="14"/>
      <c r="H194" s="15"/>
      <c r="I194" s="16"/>
      <c r="J194" s="16"/>
      <c r="K194" s="16"/>
      <c r="L194" s="16"/>
      <c r="M194" s="16"/>
    </row>
    <row r="195">
      <c r="A195" s="13"/>
      <c r="B195" s="13"/>
      <c r="C195" s="17"/>
      <c r="E195" s="14"/>
      <c r="F195" s="13"/>
      <c r="G195" s="14"/>
      <c r="H195" s="15"/>
      <c r="I195" s="16"/>
      <c r="J195" s="16"/>
      <c r="K195" s="16"/>
      <c r="L195" s="16"/>
      <c r="M195" s="16"/>
    </row>
    <row r="196">
      <c r="A196" s="13"/>
      <c r="B196" s="13"/>
      <c r="C196" s="17"/>
      <c r="E196" s="14"/>
      <c r="F196" s="13"/>
      <c r="G196" s="14"/>
      <c r="H196" s="15"/>
      <c r="I196" s="16"/>
      <c r="J196" s="16"/>
      <c r="K196" s="16"/>
      <c r="L196" s="16"/>
      <c r="M196" s="16"/>
    </row>
    <row r="197">
      <c r="A197" s="13"/>
      <c r="B197" s="13"/>
      <c r="C197" s="17"/>
      <c r="E197" s="14"/>
      <c r="F197" s="13"/>
      <c r="G197" s="14"/>
      <c r="H197" s="15"/>
      <c r="I197" s="16"/>
      <c r="J197" s="16"/>
      <c r="K197" s="16"/>
      <c r="L197" s="16"/>
      <c r="M197" s="16"/>
    </row>
    <row r="198">
      <c r="A198" s="13"/>
      <c r="B198" s="13"/>
      <c r="C198" s="17"/>
      <c r="E198" s="14"/>
      <c r="F198" s="13"/>
      <c r="G198" s="14"/>
      <c r="H198" s="15"/>
      <c r="I198" s="16"/>
      <c r="J198" s="16"/>
      <c r="K198" s="16"/>
      <c r="L198" s="16"/>
      <c r="M198" s="16"/>
    </row>
    <row r="199">
      <c r="A199" s="13"/>
      <c r="B199" s="13"/>
      <c r="C199" s="17"/>
      <c r="E199" s="14"/>
      <c r="F199" s="13"/>
      <c r="G199" s="14"/>
      <c r="H199" s="15"/>
      <c r="I199" s="16"/>
      <c r="J199" s="16"/>
      <c r="K199" s="16"/>
      <c r="L199" s="16"/>
      <c r="M199" s="16"/>
    </row>
    <row r="200">
      <c r="A200" s="13"/>
      <c r="B200" s="13"/>
      <c r="C200" s="17"/>
      <c r="E200" s="14"/>
      <c r="F200" s="13"/>
      <c r="G200" s="14"/>
      <c r="H200" s="15"/>
      <c r="I200" s="16"/>
      <c r="J200" s="16"/>
      <c r="K200" s="16"/>
      <c r="L200" s="16"/>
      <c r="M200" s="16"/>
    </row>
    <row r="201">
      <c r="A201" s="13"/>
      <c r="B201" s="13"/>
      <c r="C201" s="17"/>
      <c r="E201" s="14"/>
      <c r="F201" s="13"/>
      <c r="G201" s="14"/>
      <c r="H201" s="15"/>
      <c r="I201" s="16"/>
      <c r="J201" s="16"/>
      <c r="K201" s="16"/>
      <c r="L201" s="16"/>
      <c r="M201" s="16"/>
    </row>
    <row r="202">
      <c r="A202" s="13"/>
      <c r="B202" s="13"/>
      <c r="C202" s="17"/>
      <c r="E202" s="14"/>
      <c r="F202" s="13"/>
      <c r="G202" s="14"/>
      <c r="H202" s="15"/>
      <c r="I202" s="16"/>
      <c r="J202" s="16"/>
      <c r="K202" s="16"/>
      <c r="L202" s="16"/>
      <c r="M202" s="16"/>
    </row>
    <row r="203">
      <c r="A203" s="13"/>
      <c r="B203" s="13"/>
      <c r="C203" s="17"/>
      <c r="E203" s="14"/>
      <c r="F203" s="13"/>
      <c r="G203" s="14"/>
      <c r="H203" s="15"/>
      <c r="I203" s="16"/>
      <c r="J203" s="16"/>
      <c r="K203" s="16"/>
      <c r="L203" s="16"/>
      <c r="M203" s="16"/>
    </row>
    <row r="204">
      <c r="A204" s="13"/>
      <c r="B204" s="13"/>
      <c r="C204" s="17"/>
      <c r="E204" s="14"/>
      <c r="F204" s="13"/>
      <c r="G204" s="14"/>
      <c r="H204" s="15"/>
      <c r="I204" s="16"/>
      <c r="J204" s="16"/>
      <c r="K204" s="16"/>
      <c r="L204" s="16"/>
      <c r="M204" s="16"/>
    </row>
    <row r="205">
      <c r="A205" s="13"/>
      <c r="B205" s="13"/>
      <c r="C205" s="17"/>
      <c r="E205" s="14"/>
      <c r="F205" s="13"/>
      <c r="G205" s="14"/>
      <c r="H205" s="15"/>
      <c r="I205" s="16"/>
      <c r="J205" s="16"/>
      <c r="K205" s="16"/>
      <c r="L205" s="16"/>
      <c r="M205" s="16"/>
    </row>
    <row r="206">
      <c r="A206" s="13"/>
      <c r="B206" s="13"/>
      <c r="C206" s="17"/>
      <c r="E206" s="14"/>
      <c r="F206" s="13"/>
      <c r="G206" s="14"/>
      <c r="H206" s="15"/>
      <c r="I206" s="16"/>
      <c r="J206" s="16"/>
      <c r="K206" s="16"/>
      <c r="L206" s="16"/>
      <c r="M206" s="16"/>
    </row>
    <row r="207">
      <c r="A207" s="13"/>
      <c r="B207" s="13"/>
      <c r="C207" s="17"/>
      <c r="E207" s="14"/>
      <c r="F207" s="13"/>
      <c r="G207" s="14"/>
      <c r="H207" s="15"/>
      <c r="I207" s="16"/>
      <c r="J207" s="16"/>
      <c r="K207" s="16"/>
      <c r="L207" s="16"/>
      <c r="M207" s="16"/>
    </row>
    <row r="208">
      <c r="A208" s="13"/>
      <c r="B208" s="13"/>
      <c r="C208" s="17"/>
      <c r="E208" s="14"/>
      <c r="F208" s="13"/>
      <c r="G208" s="14"/>
      <c r="H208" s="15"/>
      <c r="I208" s="16"/>
      <c r="J208" s="16"/>
      <c r="K208" s="16"/>
      <c r="L208" s="16"/>
      <c r="M208" s="16"/>
    </row>
    <row r="209">
      <c r="A209" s="13"/>
      <c r="B209" s="13"/>
      <c r="C209" s="17"/>
      <c r="E209" s="14"/>
      <c r="F209" s="13"/>
      <c r="G209" s="14"/>
      <c r="H209" s="15"/>
      <c r="I209" s="16"/>
      <c r="J209" s="16"/>
      <c r="K209" s="16"/>
      <c r="L209" s="16"/>
      <c r="M209" s="16"/>
    </row>
    <row r="210">
      <c r="A210" s="13"/>
      <c r="B210" s="13"/>
      <c r="C210" s="17"/>
      <c r="E210" s="14"/>
      <c r="F210" s="13"/>
      <c r="G210" s="14"/>
      <c r="H210" s="15"/>
      <c r="I210" s="16"/>
      <c r="J210" s="16"/>
      <c r="K210" s="16"/>
      <c r="L210" s="16"/>
      <c r="M210" s="16"/>
    </row>
    <row r="211">
      <c r="A211" s="13"/>
      <c r="B211" s="13"/>
      <c r="C211" s="17"/>
      <c r="E211" s="14"/>
      <c r="F211" s="13"/>
      <c r="G211" s="14"/>
      <c r="H211" s="15"/>
      <c r="I211" s="16"/>
      <c r="J211" s="16"/>
      <c r="K211" s="16"/>
      <c r="L211" s="16"/>
      <c r="M211" s="16"/>
    </row>
    <row r="212">
      <c r="A212" s="13"/>
      <c r="B212" s="13"/>
      <c r="C212" s="17"/>
      <c r="E212" s="14"/>
      <c r="F212" s="13"/>
      <c r="G212" s="14"/>
      <c r="H212" s="15"/>
      <c r="I212" s="16"/>
      <c r="J212" s="16"/>
      <c r="K212" s="16"/>
      <c r="L212" s="16"/>
      <c r="M212" s="16"/>
    </row>
    <row r="213">
      <c r="A213" s="13"/>
      <c r="B213" s="13"/>
      <c r="C213" s="17"/>
      <c r="E213" s="14"/>
      <c r="F213" s="13"/>
      <c r="G213" s="14"/>
      <c r="H213" s="15"/>
      <c r="I213" s="16"/>
      <c r="J213" s="16"/>
      <c r="K213" s="16"/>
      <c r="L213" s="16"/>
      <c r="M213" s="16"/>
    </row>
    <row r="214">
      <c r="A214" s="13"/>
      <c r="B214" s="13"/>
      <c r="C214" s="17"/>
      <c r="E214" s="14"/>
      <c r="F214" s="13"/>
      <c r="G214" s="14"/>
      <c r="H214" s="15"/>
      <c r="I214" s="16"/>
      <c r="J214" s="16"/>
      <c r="K214" s="16"/>
      <c r="L214" s="16"/>
      <c r="M214" s="16"/>
    </row>
    <row r="215">
      <c r="A215" s="13"/>
      <c r="B215" s="13"/>
      <c r="C215" s="17"/>
      <c r="E215" s="14"/>
      <c r="F215" s="13"/>
      <c r="G215" s="14"/>
      <c r="H215" s="15"/>
      <c r="I215" s="16"/>
      <c r="J215" s="16"/>
      <c r="K215" s="16"/>
      <c r="L215" s="16"/>
      <c r="M215" s="16"/>
    </row>
    <row r="216">
      <c r="A216" s="13"/>
      <c r="B216" s="13"/>
      <c r="C216" s="17"/>
      <c r="E216" s="14"/>
      <c r="F216" s="13"/>
      <c r="G216" s="14"/>
      <c r="H216" s="15"/>
      <c r="I216" s="16"/>
      <c r="J216" s="16"/>
      <c r="K216" s="16"/>
      <c r="L216" s="16"/>
      <c r="M216" s="16"/>
    </row>
    <row r="217">
      <c r="A217" s="13"/>
      <c r="B217" s="13"/>
      <c r="C217" s="17"/>
      <c r="E217" s="14"/>
      <c r="F217" s="13"/>
      <c r="G217" s="14"/>
      <c r="H217" s="15"/>
      <c r="I217" s="16"/>
      <c r="J217" s="16"/>
      <c r="K217" s="16"/>
      <c r="L217" s="16"/>
      <c r="M217" s="16"/>
    </row>
    <row r="218">
      <c r="A218" s="13"/>
      <c r="B218" s="13"/>
      <c r="C218" s="17"/>
      <c r="E218" s="14"/>
      <c r="F218" s="13"/>
      <c r="G218" s="14"/>
      <c r="H218" s="15"/>
      <c r="I218" s="16"/>
      <c r="J218" s="16"/>
      <c r="K218" s="16"/>
      <c r="L218" s="16"/>
      <c r="M218" s="16"/>
    </row>
    <row r="219">
      <c r="A219" s="13"/>
      <c r="B219" s="13"/>
      <c r="C219" s="17"/>
      <c r="E219" s="14"/>
      <c r="F219" s="13"/>
      <c r="G219" s="14"/>
      <c r="H219" s="15"/>
      <c r="I219" s="16"/>
      <c r="J219" s="16"/>
      <c r="K219" s="16"/>
      <c r="L219" s="16"/>
      <c r="M219" s="16"/>
    </row>
    <row r="220">
      <c r="A220" s="13"/>
      <c r="B220" s="13"/>
      <c r="C220" s="17"/>
      <c r="E220" s="14"/>
      <c r="F220" s="13"/>
      <c r="G220" s="14"/>
      <c r="H220" s="15"/>
      <c r="I220" s="16"/>
      <c r="J220" s="16"/>
      <c r="K220" s="16"/>
      <c r="L220" s="16"/>
      <c r="M220" s="16"/>
    </row>
    <row r="221">
      <c r="A221" s="13"/>
      <c r="B221" s="13"/>
      <c r="C221" s="17"/>
      <c r="E221" s="14"/>
      <c r="F221" s="13"/>
      <c r="G221" s="14"/>
      <c r="H221" s="15"/>
      <c r="I221" s="16"/>
      <c r="J221" s="16"/>
      <c r="K221" s="16"/>
      <c r="L221" s="16"/>
      <c r="M221" s="16"/>
    </row>
    <row r="222">
      <c r="A222" s="13"/>
      <c r="B222" s="13"/>
      <c r="C222" s="17"/>
      <c r="E222" s="14"/>
      <c r="F222" s="13"/>
      <c r="G222" s="14"/>
      <c r="H222" s="15"/>
      <c r="I222" s="16"/>
      <c r="J222" s="16"/>
      <c r="K222" s="16"/>
      <c r="L222" s="16"/>
      <c r="M222" s="16"/>
    </row>
    <row r="223">
      <c r="A223" s="13"/>
      <c r="B223" s="13"/>
      <c r="C223" s="17"/>
      <c r="E223" s="14"/>
      <c r="F223" s="13"/>
      <c r="G223" s="14"/>
      <c r="H223" s="15"/>
      <c r="I223" s="16"/>
      <c r="J223" s="16"/>
      <c r="K223" s="16"/>
      <c r="L223" s="16"/>
      <c r="M223" s="16"/>
    </row>
    <row r="224">
      <c r="A224" s="13"/>
      <c r="B224" s="13"/>
      <c r="C224" s="17"/>
      <c r="E224" s="14"/>
      <c r="F224" s="13"/>
      <c r="G224" s="14"/>
      <c r="H224" s="15"/>
      <c r="I224" s="16"/>
      <c r="J224" s="16"/>
      <c r="K224" s="16"/>
      <c r="L224" s="16"/>
      <c r="M224" s="16"/>
    </row>
    <row r="225">
      <c r="A225" s="13"/>
      <c r="B225" s="13"/>
      <c r="C225" s="17"/>
      <c r="E225" s="14"/>
      <c r="F225" s="13"/>
      <c r="G225" s="14"/>
      <c r="H225" s="15"/>
      <c r="I225" s="16"/>
      <c r="J225" s="16"/>
      <c r="K225" s="16"/>
      <c r="L225" s="16"/>
      <c r="M225" s="16"/>
    </row>
    <row r="226">
      <c r="A226" s="13"/>
      <c r="B226" s="13"/>
      <c r="C226" s="17"/>
      <c r="E226" s="14"/>
      <c r="F226" s="13"/>
      <c r="G226" s="14"/>
      <c r="H226" s="15"/>
      <c r="I226" s="16"/>
      <c r="J226" s="16"/>
      <c r="K226" s="16"/>
      <c r="L226" s="16"/>
      <c r="M226" s="16"/>
    </row>
    <row r="227">
      <c r="A227" s="13"/>
      <c r="B227" s="13"/>
      <c r="C227" s="17"/>
      <c r="E227" s="14"/>
      <c r="F227" s="13"/>
      <c r="G227" s="14"/>
      <c r="H227" s="15"/>
      <c r="I227" s="16"/>
      <c r="J227" s="16"/>
      <c r="K227" s="16"/>
      <c r="L227" s="16"/>
      <c r="M227" s="16"/>
    </row>
    <row r="228">
      <c r="A228" s="13"/>
      <c r="B228" s="13"/>
      <c r="C228" s="17"/>
      <c r="E228" s="14"/>
      <c r="F228" s="13"/>
      <c r="G228" s="14"/>
      <c r="H228" s="15"/>
      <c r="I228" s="16"/>
      <c r="J228" s="16"/>
      <c r="K228" s="16"/>
      <c r="L228" s="16"/>
      <c r="M228" s="16"/>
    </row>
    <row r="229">
      <c r="A229" s="13"/>
      <c r="B229" s="13"/>
      <c r="C229" s="17"/>
      <c r="E229" s="14"/>
      <c r="F229" s="13"/>
      <c r="G229" s="14"/>
      <c r="H229" s="15"/>
      <c r="I229" s="16"/>
      <c r="J229" s="16"/>
      <c r="K229" s="16"/>
      <c r="L229" s="16"/>
      <c r="M229" s="16"/>
    </row>
    <row r="230">
      <c r="A230" s="13"/>
      <c r="B230" s="13"/>
      <c r="C230" s="17"/>
      <c r="E230" s="14"/>
      <c r="F230" s="13"/>
      <c r="G230" s="14"/>
      <c r="H230" s="15"/>
      <c r="I230" s="16"/>
      <c r="J230" s="16"/>
      <c r="K230" s="16"/>
      <c r="L230" s="16"/>
      <c r="M230" s="16"/>
    </row>
    <row r="231">
      <c r="A231" s="13"/>
      <c r="B231" s="13"/>
      <c r="C231" s="17"/>
      <c r="E231" s="14"/>
      <c r="F231" s="13"/>
      <c r="G231" s="14"/>
      <c r="H231" s="15"/>
      <c r="I231" s="16"/>
      <c r="J231" s="16"/>
      <c r="K231" s="16"/>
      <c r="L231" s="16"/>
      <c r="M231" s="16"/>
    </row>
    <row r="232">
      <c r="A232" s="13"/>
      <c r="B232" s="13"/>
      <c r="C232" s="17"/>
      <c r="E232" s="14"/>
      <c r="F232" s="13"/>
      <c r="G232" s="14"/>
      <c r="H232" s="15"/>
      <c r="I232" s="16"/>
      <c r="J232" s="16"/>
      <c r="K232" s="16"/>
      <c r="L232" s="16"/>
      <c r="M232" s="16"/>
    </row>
    <row r="233">
      <c r="A233" s="13"/>
      <c r="B233" s="13"/>
      <c r="C233" s="17"/>
      <c r="E233" s="14"/>
      <c r="F233" s="13"/>
      <c r="G233" s="14"/>
      <c r="H233" s="15"/>
      <c r="I233" s="16"/>
      <c r="J233" s="16"/>
      <c r="K233" s="16"/>
      <c r="L233" s="16"/>
      <c r="M233" s="16"/>
    </row>
    <row r="234">
      <c r="A234" s="13"/>
      <c r="B234" s="13"/>
      <c r="C234" s="17"/>
      <c r="E234" s="14"/>
      <c r="F234" s="13"/>
      <c r="G234" s="14"/>
      <c r="H234" s="15"/>
      <c r="I234" s="16"/>
      <c r="J234" s="16"/>
      <c r="K234" s="16"/>
      <c r="L234" s="16"/>
      <c r="M234" s="16"/>
    </row>
    <row r="235">
      <c r="A235" s="13"/>
      <c r="B235" s="13"/>
      <c r="C235" s="17"/>
      <c r="E235" s="14"/>
      <c r="F235" s="13"/>
      <c r="G235" s="14"/>
      <c r="H235" s="15"/>
      <c r="I235" s="16"/>
      <c r="J235" s="16"/>
      <c r="K235" s="16"/>
      <c r="L235" s="16"/>
      <c r="M235" s="16"/>
    </row>
    <row r="236">
      <c r="A236" s="13"/>
      <c r="B236" s="13"/>
      <c r="C236" s="17"/>
      <c r="E236" s="14"/>
      <c r="F236" s="13"/>
      <c r="G236" s="14"/>
      <c r="H236" s="15"/>
      <c r="I236" s="16"/>
      <c r="J236" s="16"/>
      <c r="K236" s="16"/>
      <c r="L236" s="16"/>
      <c r="M236" s="16"/>
    </row>
    <row r="237">
      <c r="A237" s="13"/>
      <c r="B237" s="13"/>
      <c r="C237" s="17"/>
      <c r="E237" s="14"/>
      <c r="F237" s="13"/>
      <c r="G237" s="14"/>
      <c r="H237" s="15"/>
      <c r="I237" s="16"/>
      <c r="J237" s="16"/>
      <c r="K237" s="16"/>
      <c r="L237" s="16"/>
      <c r="M237" s="16"/>
    </row>
    <row r="238">
      <c r="A238" s="13"/>
      <c r="B238" s="13"/>
      <c r="C238" s="17"/>
      <c r="E238" s="14"/>
      <c r="F238" s="13"/>
      <c r="G238" s="14"/>
      <c r="H238" s="15"/>
      <c r="I238" s="16"/>
      <c r="J238" s="16"/>
      <c r="K238" s="16"/>
      <c r="L238" s="16"/>
      <c r="M238" s="16"/>
    </row>
    <row r="239">
      <c r="A239" s="13"/>
      <c r="B239" s="13"/>
      <c r="C239" s="17"/>
      <c r="E239" s="14"/>
      <c r="F239" s="13"/>
      <c r="G239" s="14"/>
      <c r="H239" s="15"/>
      <c r="I239" s="16"/>
      <c r="J239" s="16"/>
      <c r="K239" s="16"/>
      <c r="L239" s="16"/>
      <c r="M239" s="16"/>
    </row>
    <row r="240">
      <c r="A240" s="13"/>
      <c r="B240" s="13"/>
      <c r="C240" s="17"/>
      <c r="E240" s="14"/>
      <c r="F240" s="13"/>
      <c r="G240" s="14"/>
      <c r="H240" s="15"/>
      <c r="I240" s="16"/>
      <c r="J240" s="16"/>
      <c r="K240" s="16"/>
      <c r="L240" s="16"/>
      <c r="M240" s="16"/>
    </row>
    <row r="241">
      <c r="A241" s="13"/>
      <c r="B241" s="13"/>
      <c r="C241" s="17"/>
      <c r="E241" s="14"/>
      <c r="F241" s="13"/>
      <c r="G241" s="14"/>
      <c r="H241" s="15"/>
      <c r="I241" s="16"/>
      <c r="J241" s="16"/>
      <c r="K241" s="16"/>
      <c r="L241" s="16"/>
      <c r="M241" s="16"/>
    </row>
    <row r="242">
      <c r="A242" s="13"/>
      <c r="B242" s="13"/>
      <c r="C242" s="17"/>
      <c r="E242" s="14"/>
      <c r="F242" s="13"/>
      <c r="G242" s="14"/>
      <c r="H242" s="15"/>
      <c r="I242" s="16"/>
      <c r="J242" s="16"/>
      <c r="K242" s="16"/>
      <c r="L242" s="16"/>
      <c r="M242" s="16"/>
    </row>
    <row r="243">
      <c r="A243" s="13"/>
      <c r="B243" s="13"/>
      <c r="C243" s="17"/>
      <c r="E243" s="14"/>
      <c r="F243" s="13"/>
      <c r="G243" s="14"/>
      <c r="H243" s="15"/>
      <c r="I243" s="16"/>
      <c r="J243" s="16"/>
      <c r="K243" s="16"/>
      <c r="L243" s="16"/>
      <c r="M243" s="16"/>
    </row>
    <row r="244">
      <c r="A244" s="13"/>
      <c r="B244" s="13"/>
      <c r="C244" s="17"/>
      <c r="E244" s="14"/>
      <c r="F244" s="13"/>
      <c r="G244" s="14"/>
      <c r="H244" s="15"/>
      <c r="I244" s="16"/>
      <c r="J244" s="16"/>
      <c r="K244" s="16"/>
      <c r="L244" s="16"/>
      <c r="M244" s="16"/>
    </row>
    <row r="245">
      <c r="A245" s="13"/>
      <c r="B245" s="13"/>
      <c r="C245" s="17"/>
      <c r="E245" s="14"/>
      <c r="F245" s="13"/>
      <c r="G245" s="14"/>
      <c r="H245" s="15"/>
      <c r="I245" s="16"/>
      <c r="J245" s="16"/>
      <c r="K245" s="16"/>
      <c r="L245" s="16"/>
      <c r="M245" s="16"/>
    </row>
    <row r="246">
      <c r="A246" s="13"/>
      <c r="B246" s="13"/>
      <c r="C246" s="17"/>
      <c r="E246" s="14"/>
      <c r="F246" s="13"/>
      <c r="G246" s="14"/>
      <c r="H246" s="15"/>
      <c r="I246" s="16"/>
      <c r="J246" s="16"/>
      <c r="K246" s="16"/>
      <c r="L246" s="16"/>
      <c r="M246" s="16"/>
    </row>
    <row r="247">
      <c r="A247" s="13"/>
      <c r="B247" s="13"/>
      <c r="C247" s="17"/>
      <c r="E247" s="14"/>
      <c r="F247" s="13"/>
      <c r="G247" s="14"/>
      <c r="H247" s="15"/>
      <c r="I247" s="16"/>
      <c r="J247" s="16"/>
      <c r="K247" s="16"/>
      <c r="L247" s="16"/>
      <c r="M247" s="16"/>
    </row>
    <row r="248">
      <c r="A248" s="13"/>
      <c r="B248" s="13"/>
      <c r="C248" s="17"/>
      <c r="E248" s="14"/>
      <c r="F248" s="13"/>
      <c r="G248" s="14"/>
      <c r="H248" s="15"/>
      <c r="I248" s="16"/>
      <c r="J248" s="16"/>
      <c r="K248" s="16"/>
      <c r="L248" s="16"/>
      <c r="M248" s="16"/>
    </row>
    <row r="249">
      <c r="A249" s="13"/>
      <c r="B249" s="13"/>
      <c r="C249" s="17"/>
      <c r="E249" s="14"/>
      <c r="F249" s="13"/>
      <c r="G249" s="14"/>
      <c r="H249" s="15"/>
      <c r="I249" s="16"/>
      <c r="J249" s="16"/>
      <c r="K249" s="16"/>
      <c r="L249" s="16"/>
      <c r="M249" s="16"/>
    </row>
    <row r="250">
      <c r="A250" s="13"/>
      <c r="B250" s="13"/>
      <c r="C250" s="17"/>
      <c r="E250" s="14"/>
      <c r="F250" s="13"/>
      <c r="G250" s="14"/>
      <c r="H250" s="15"/>
      <c r="I250" s="16"/>
      <c r="J250" s="16"/>
      <c r="K250" s="16"/>
      <c r="L250" s="16"/>
      <c r="M250" s="16"/>
    </row>
    <row r="251">
      <c r="A251" s="13"/>
      <c r="B251" s="13"/>
      <c r="C251" s="17"/>
      <c r="E251" s="14"/>
      <c r="F251" s="13"/>
      <c r="G251" s="14"/>
      <c r="H251" s="15"/>
      <c r="I251" s="16"/>
      <c r="J251" s="16"/>
      <c r="K251" s="16"/>
      <c r="L251" s="16"/>
      <c r="M251" s="16"/>
    </row>
    <row r="252">
      <c r="A252" s="13"/>
      <c r="B252" s="13"/>
      <c r="C252" s="17"/>
      <c r="E252" s="14"/>
      <c r="F252" s="13"/>
      <c r="G252" s="14"/>
      <c r="H252" s="15"/>
      <c r="I252" s="16"/>
      <c r="J252" s="16"/>
      <c r="K252" s="16"/>
      <c r="L252" s="16"/>
      <c r="M252" s="16"/>
    </row>
    <row r="253">
      <c r="A253" s="13"/>
      <c r="B253" s="13"/>
      <c r="C253" s="17"/>
      <c r="E253" s="14"/>
      <c r="F253" s="13"/>
      <c r="G253" s="14"/>
      <c r="H253" s="15"/>
      <c r="I253" s="16"/>
      <c r="J253" s="16"/>
      <c r="K253" s="16"/>
      <c r="L253" s="16"/>
      <c r="M253" s="16"/>
    </row>
  </sheetData>
  <mergeCells>
    <mergeCell ref="D5:D13"/>
    <mergeCell ref="D3:D4"/>
    <mergeCell ref="M20:M27"/>
    <mergeCell ref="L20:L27"/>
    <mergeCell ref="J20:J27"/>
    <mergeCell ref="I20:I27"/>
    <mergeCell ref="K20:K27"/>
    <mergeCell ref="B3:B16"/>
    <mergeCell ref="D14:D16"/>
    <mergeCell ref="B28:B29"/>
    <mergeCell ref="B17:B27"/>
    <mergeCell ref="C66:C74"/>
    <mergeCell ref="G58:G60"/>
    <mergeCell ref="G64:G65"/>
    <mergeCell ref="G67:G68"/>
    <mergeCell ref="G69:G70"/>
    <mergeCell ref="G71:G72"/>
    <mergeCell ref="C46:C57"/>
    <mergeCell ref="C42:C45"/>
    <mergeCell ref="B30:B41"/>
    <mergeCell ref="B42:B45"/>
    <mergeCell ref="C58:C65"/>
    <mergeCell ref="C30:C41"/>
  </mergeCells>
  <dataValidations count="1">
    <dataValidation allowBlank="true" errorStyle="stop" showErrorMessage="true" sqref="H2:H75" type="list">
      <formula1>"计划,进行,完成,取消"</formula1>
    </dataValidation>
  </dataValidations>
  <hyperlinks>
    <hyperlink ref="E2" location="'测试人员清单'!A1" display="测试人员清单"/>
  </hyperlink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20"/>
    <col collapsed="false" customWidth="true" hidden="false" max="3" min="3" style="0" width="23"/>
    <col collapsed="false" customWidth="true" hidden="false" max="4" min="4" style="0" width="9"/>
    <col collapsed="false" customWidth="true" hidden="false" max="5" min="5" style="0" width="4"/>
    <col collapsed="false" customWidth="true" hidden="false" max="6" min="6" style="0" width="7"/>
    <col collapsed="false" customWidth="true" hidden="false" max="7" min="7" style="0" width="7"/>
    <col collapsed="false" customWidth="true" hidden="false" max="8" min="8" style="0" width="9"/>
    <col collapsed="false" customWidth="true" hidden="false" max="9" min="9" style="0" width="12"/>
    <col collapsed="false" customWidth="true" hidden="false" max="10" min="10" style="0" width="7"/>
    <col collapsed="false" customWidth="true" hidden="false" max="11" min="11" style="0" width="4"/>
    <col collapsed="false" customWidth="true" hidden="false" max="12" min="12" style="0" width="10"/>
    <col collapsed="false" customWidth="true" hidden="false" max="13" min="13" style="0" width="4"/>
    <col collapsed="false" customWidth="true" hidden="false" max="14" min="14" style="0" width="4"/>
    <col collapsed="false" customWidth="true" hidden="false" max="15" min="15" style="0" width="4"/>
    <col collapsed="false" customWidth="true" hidden="false" max="16" min="16" style="0" width="4"/>
    <col collapsed="false" customWidth="true" hidden="false" max="17" min="17" style="0" width="4"/>
    <col collapsed="false" customWidth="true" hidden="false" max="18" min="18" style="0" width="4"/>
    <col collapsed="false" customWidth="true" hidden="false" max="19" min="19" style="0" width="4"/>
    <col collapsed="false" customWidth="true" hidden="false" max="20" min="20" style="0" width="4"/>
    <col collapsed="false" customWidth="true" hidden="false" max="21" min="21" style="0" width="4"/>
    <col collapsed="false" customWidth="true" hidden="false" max="22" min="22" style="0" width="4"/>
    <col collapsed="false" customWidth="true" hidden="false" max="23" min="23" style="0" width="4"/>
    <col collapsed="false" customWidth="true" hidden="false" max="24" min="24" style="0" width="4"/>
    <col collapsed="false" customWidth="true" hidden="false" max="25" min="25" style="0" width="6"/>
    <col collapsed="false" customWidth="true" hidden="false" max="26" min="26" style="0" width="4"/>
    <col collapsed="false" customWidth="true" hidden="false" max="27" min="27" style="0" width="7"/>
    <col collapsed="false" customWidth="true" hidden="false" max="28" min="28" style="0" width="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</cols>
  <sheetData>
    <row r="1">
      <c r="A1" s="74" t="str">
        <v>模块</v>
      </c>
      <c r="B1" s="74" t="str">
        <v>人员角色（报表可见范围）</v>
      </c>
      <c r="C1" s="72" t="str">
        <v>表单范围</v>
      </c>
      <c r="D1" s="72" t="str">
        <v>功能</v>
      </c>
      <c r="F1" s="73" t="str">
        <v>需控制数据权限的维度：</v>
      </c>
      <c r="G1" s="73"/>
      <c r="H1" s="73"/>
      <c r="I1" s="73"/>
      <c r="J1" s="71" t="str">
        <v>组织</v>
      </c>
      <c r="K1" s="71" t="str">
        <v>人员</v>
      </c>
      <c r="L1" s="71" t="str">
        <v>区域</v>
      </c>
      <c r="M1" s="71" t="str">
        <v>渠道</v>
      </c>
      <c r="N1" s="71" t="str">
        <v>客户</v>
      </c>
      <c r="O1" s="71" t="str">
        <v>行业</v>
      </c>
      <c r="P1" s="71" t="str">
        <v>线索</v>
      </c>
      <c r="Q1" s="71" t="str">
        <v>商机</v>
      </c>
      <c r="R1" s="71" t="str">
        <v>订单</v>
      </c>
      <c r="S1" s="71" t="str">
        <v>产品</v>
      </c>
      <c r="T1" s="71" t="str">
        <v>工厂</v>
      </c>
      <c r="U1" s="71" t="str">
        <v>车间</v>
      </c>
      <c r="V1" s="71" t="str">
        <v>工序</v>
      </c>
      <c r="W1" s="71" t="str">
        <v>仓库</v>
      </c>
      <c r="X1" s="71" t="str">
        <v>物料</v>
      </c>
      <c r="Y1" s="71" t="str">
        <v>供应商</v>
      </c>
      <c r="Z1" s="71" t="str">
        <v>工单</v>
      </c>
      <c r="AA1" s="71" t="str">
        <v>竞争对手</v>
      </c>
      <c r="AB1" s="71" t="str">
        <v>项目</v>
      </c>
    </row>
    <row r="2">
      <c r="A2" s="57" t="str">
        <v>指标分析</v>
      </c>
      <c r="B2" s="52" t="str">
        <v>中台-周报查看用户</v>
      </c>
      <c r="C2" s="55" t="str">
        <v>周报</v>
      </c>
      <c r="D2" s="56" t="str">
        <v>查看</v>
      </c>
      <c r="E2" s="53" t="str">
        <v>待定</v>
      </c>
      <c r="F2" s="74" t="str">
        <v>业务模块</v>
      </c>
      <c r="G2" s="74" t="str">
        <v>角色层级</v>
      </c>
      <c r="H2" s="74" t="str">
        <v>角色</v>
      </c>
      <c r="I2" s="71" t="str">
        <v>可查看数据范围</v>
      </c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46"/>
      <c r="V2" s="46"/>
      <c r="W2" s="46"/>
      <c r="X2" s="46"/>
      <c r="Y2" s="46"/>
      <c r="Z2" s="46"/>
      <c r="AA2" s="76"/>
      <c r="AB2" s="76"/>
    </row>
    <row r="3">
      <c r="A3" s="57" t="str">
        <v>指标分析</v>
      </c>
      <c r="B3" s="52" t="str">
        <v>中台-周报编辑用户</v>
      </c>
      <c r="C3" s="55" t="str">
        <v>周报</v>
      </c>
      <c r="D3" s="56" t="str">
        <v>查看和编辑</v>
      </c>
      <c r="E3" s="53" t="str">
        <v>待定</v>
      </c>
      <c r="F3" s="54" t="str">
        <v>决策层</v>
      </c>
      <c r="G3" s="58" t="str">
        <v>决策者</v>
      </c>
      <c r="H3" s="52" t="str">
        <v>集团决策层</v>
      </c>
      <c r="I3" s="55"/>
      <c r="J3" s="51" t="str">
        <v>不限</v>
      </c>
      <c r="K3" s="51" t="str">
        <v>不限</v>
      </c>
      <c r="L3" s="51" t="str">
        <v>不限</v>
      </c>
      <c r="M3" s="51" t="str">
        <v>不限</v>
      </c>
      <c r="N3" s="51" t="str">
        <v>不限</v>
      </c>
      <c r="O3" s="51" t="str">
        <v>不限</v>
      </c>
      <c r="P3" s="51" t="str">
        <v>不限</v>
      </c>
      <c r="Q3" s="51" t="str">
        <v>不限</v>
      </c>
      <c r="R3" s="51" t="str">
        <v>不限</v>
      </c>
      <c r="S3" s="51" t="str">
        <v>不限</v>
      </c>
      <c r="T3" s="51" t="str">
        <v>不限</v>
      </c>
      <c r="U3" s="51" t="str">
        <v>不限</v>
      </c>
      <c r="V3" s="51" t="str">
        <v>不限</v>
      </c>
      <c r="W3" s="51" t="str">
        <v>不限</v>
      </c>
      <c r="X3" s="51" t="str">
        <v>不限</v>
      </c>
      <c r="Y3" s="51" t="str">
        <v>不限</v>
      </c>
      <c r="Z3" s="51" t="str">
        <v>不限</v>
      </c>
      <c r="AA3" s="56" t="str">
        <v>不限</v>
      </c>
      <c r="AB3" s="56" t="str">
        <v>不限</v>
      </c>
    </row>
    <row r="4">
      <c r="A4" s="64" t="str">
        <v>主数据</v>
      </c>
      <c r="B4" s="61" t="str">
        <v>中台-系统管理员</v>
      </c>
      <c r="C4" s="62" t="str">
        <v>系统账号表</v>
      </c>
      <c r="D4" s="66" t="str">
        <v>查看和编辑</v>
      </c>
      <c r="F4" s="54" t="str">
        <v>决策层</v>
      </c>
      <c r="G4" s="58" t="str">
        <v>决策者</v>
      </c>
      <c r="H4" s="52" t="str">
        <v>公司决策层</v>
      </c>
      <c r="I4" s="55"/>
      <c r="J4" s="60" t="str">
        <v>所属公司</v>
      </c>
      <c r="K4" s="60"/>
      <c r="L4" s="60"/>
      <c r="M4" s="60"/>
      <c r="N4" s="60"/>
      <c r="O4" s="60"/>
      <c r="P4" s="60"/>
      <c r="Q4" s="60"/>
      <c r="R4" s="60"/>
      <c r="S4" s="60"/>
      <c r="T4" s="60"/>
      <c r="U4" s="63"/>
      <c r="V4" s="46"/>
      <c r="W4" s="46"/>
      <c r="X4" s="46"/>
      <c r="Y4" s="46"/>
      <c r="Z4" s="46"/>
      <c r="AA4" s="70"/>
      <c r="AB4" s="70"/>
    </row>
    <row r="5">
      <c r="A5" s="64" t="str">
        <v>基准价</v>
      </c>
      <c r="B5" s="61" t="str">
        <v>中台-生产线财务人员</v>
      </c>
      <c r="C5" s="62" t="str">
        <v>制费率基线填报表</v>
      </c>
      <c r="D5" s="66" t="str">
        <v>查看和编辑</v>
      </c>
      <c r="F5" s="59" t="str">
        <v>销服</v>
      </c>
      <c r="G5" s="67" t="str">
        <v>管理层</v>
      </c>
      <c r="H5" s="65" t="str">
        <v>销服领导</v>
      </c>
      <c r="I5" s="62"/>
      <c r="J5" s="60" t="str">
        <v>所属公司
</v>
      </c>
      <c r="K5" s="60"/>
      <c r="L5" s="60" t="str">
        <v>All/国内/国际
所辖大区
所辖战区</v>
      </c>
      <c r="M5" s="60"/>
      <c r="N5" s="60"/>
      <c r="O5" s="60"/>
      <c r="P5" s="60"/>
      <c r="Q5" s="60"/>
      <c r="R5" s="60"/>
      <c r="S5" s="60"/>
      <c r="T5" s="60"/>
      <c r="U5" s="63"/>
      <c r="V5" s="46"/>
      <c r="W5" s="46"/>
      <c r="X5" s="46"/>
      <c r="Y5" s="46"/>
      <c r="Z5" s="46"/>
      <c r="AA5" s="46"/>
      <c r="AB5" s="46"/>
    </row>
    <row r="6">
      <c r="A6" s="64" t="str">
        <v>基准价</v>
      </c>
      <c r="B6" s="61" t="str">
        <v>中台-计划工程师</v>
      </c>
      <c r="C6" s="62" t="str">
        <v>工厂供货比例填报表</v>
      </c>
      <c r="D6" s="66" t="str">
        <v>查看和编辑</v>
      </c>
      <c r="F6" s="59" t="str">
        <v>销服</v>
      </c>
      <c r="G6" s="67" t="str">
        <v>管理层</v>
      </c>
      <c r="H6" s="65" t="str">
        <v>大区领导</v>
      </c>
      <c r="I6" s="62"/>
      <c r="J6" s="60"/>
      <c r="K6" s="60"/>
      <c r="L6" s="60" t="str">
        <v>所属大区
所辖战区</v>
      </c>
      <c r="M6" s="60"/>
      <c r="N6" s="60"/>
      <c r="O6" s="60"/>
      <c r="P6" s="60"/>
      <c r="Q6" s="60"/>
      <c r="R6" s="60"/>
      <c r="S6" s="60"/>
      <c r="T6" s="60"/>
      <c r="U6" s="63"/>
      <c r="V6" s="46"/>
      <c r="W6" s="46"/>
      <c r="X6" s="46"/>
      <c r="Y6" s="46"/>
      <c r="Z6" s="46"/>
      <c r="AA6" s="46"/>
      <c r="AB6" s="46"/>
    </row>
    <row r="7">
      <c r="A7" s="64" t="str">
        <v>基准价</v>
      </c>
      <c r="B7" s="61" t="str">
        <v>中台-成本工程师</v>
      </c>
      <c r="C7" s="62" t="str">
        <v>制费率填报表</v>
      </c>
      <c r="D7" s="66" t="str">
        <v>查看和编辑</v>
      </c>
      <c r="F7" s="59" t="str">
        <v>销服</v>
      </c>
      <c r="G7" s="67" t="str">
        <v>管理层</v>
      </c>
      <c r="H7" s="65" t="str">
        <v>战区领导</v>
      </c>
      <c r="I7" s="62"/>
      <c r="J7" s="60"/>
      <c r="K7" s="60"/>
      <c r="L7" s="60" t="str">
        <v>所属战区</v>
      </c>
      <c r="M7" s="60"/>
      <c r="N7" s="60"/>
      <c r="O7" s="60"/>
      <c r="P7" s="60"/>
      <c r="Q7" s="60"/>
      <c r="R7" s="60"/>
      <c r="S7" s="60"/>
      <c r="T7" s="60"/>
      <c r="U7" s="63"/>
      <c r="V7" s="46"/>
      <c r="W7" s="46"/>
      <c r="X7" s="46"/>
      <c r="Y7" s="46"/>
      <c r="Z7" s="46"/>
      <c r="AA7" s="46"/>
      <c r="AB7" s="46"/>
    </row>
    <row customHeight="true" ht="19" r="8">
      <c r="A8" s="64" t="str">
        <v>基准价</v>
      </c>
      <c r="B8" s="61" t="str">
        <v>中台-分销成本工程师</v>
      </c>
      <c r="C8" s="62" t="str">
        <v>分销模组-制费填报表</v>
      </c>
      <c r="D8" s="66" t="str">
        <v>查看和编辑</v>
      </c>
      <c r="F8" s="59" t="str">
        <v>销服</v>
      </c>
      <c r="G8" s="67" t="str">
        <v>管理层</v>
      </c>
      <c r="H8" s="65"/>
      <c r="I8" s="62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3"/>
      <c r="V8" s="46"/>
      <c r="W8" s="46"/>
      <c r="X8" s="46"/>
      <c r="Y8" s="46"/>
      <c r="Z8" s="46"/>
      <c r="AA8" s="46"/>
      <c r="AB8" s="46"/>
    </row>
    <row r="9">
      <c r="A9" s="64" t="str">
        <v>基准价</v>
      </c>
      <c r="B9" s="61" t="str">
        <v>中台-成本工程师</v>
      </c>
      <c r="C9" s="62" t="str">
        <v>损耗率及委外成本填报表</v>
      </c>
      <c r="D9" s="66" t="str">
        <v>查看和编辑</v>
      </c>
      <c r="F9" s="59" t="str">
        <v>销服</v>
      </c>
      <c r="G9" s="67" t="str">
        <v>管理层</v>
      </c>
      <c r="H9" s="65"/>
      <c r="I9" s="62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3"/>
      <c r="V9" s="46"/>
      <c r="W9" s="46"/>
      <c r="X9" s="46"/>
      <c r="Y9" s="46"/>
      <c r="Z9" s="46"/>
      <c r="AA9" s="46"/>
      <c r="AB9" s="46"/>
    </row>
    <row r="10">
      <c r="A10" s="64" t="str">
        <v>基准价</v>
      </c>
      <c r="B10" s="61" t="str">
        <v>中台-成本工程师</v>
      </c>
      <c r="C10" s="62" t="str">
        <v>基准价调整值填报表</v>
      </c>
      <c r="D10" s="66" t="str">
        <v>查看和编辑</v>
      </c>
      <c r="F10" s="59" t="str">
        <v>销服</v>
      </c>
      <c r="G10" s="67" t="str">
        <v>管理层</v>
      </c>
      <c r="H10" s="65"/>
      <c r="I10" s="62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3"/>
      <c r="V10" s="46"/>
      <c r="W10" s="46"/>
      <c r="X10" s="46"/>
      <c r="Y10" s="46"/>
      <c r="Z10" s="46"/>
      <c r="AA10" s="46"/>
      <c r="AB10" s="46"/>
    </row>
    <row r="11">
      <c r="A11" s="64" t="str">
        <v>基准价</v>
      </c>
      <c r="B11" s="61" t="str">
        <v>中台-成本工程师</v>
      </c>
      <c r="C11" s="62" t="str">
        <v>产品最高测算成本查看表</v>
      </c>
      <c r="D11" s="66" t="str">
        <v>查看</v>
      </c>
      <c r="F11" s="59" t="str">
        <v>销服</v>
      </c>
      <c r="G11" s="63" t="str">
        <v>运营层</v>
      </c>
      <c r="H11" s="65"/>
      <c r="I11" s="62"/>
      <c r="J11" s="60" t="str">
        <v>所属公司</v>
      </c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3"/>
      <c r="V11" s="46"/>
      <c r="W11" s="46"/>
      <c r="X11" s="46"/>
      <c r="Y11" s="46"/>
      <c r="Z11" s="46"/>
      <c r="AA11" s="46"/>
      <c r="AB11" s="46"/>
    </row>
    <row r="12">
      <c r="A12" s="64" t="str">
        <v>基准价</v>
      </c>
      <c r="B12" s="61" t="str">
        <v>中台-成本工程师</v>
      </c>
      <c r="C12" s="62" t="str">
        <v>产品测算成本查看表</v>
      </c>
      <c r="D12" s="66" t="str">
        <v>查看</v>
      </c>
      <c r="F12" s="59" t="str">
        <v>销服</v>
      </c>
      <c r="G12" s="63" t="str">
        <v>执行层</v>
      </c>
      <c r="H12" s="65"/>
      <c r="I12" s="62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3"/>
      <c r="V12" s="46"/>
      <c r="W12" s="46"/>
      <c r="X12" s="46"/>
      <c r="Y12" s="46"/>
      <c r="Z12" s="46"/>
      <c r="AA12" s="46"/>
      <c r="AB12" s="46"/>
    </row>
    <row r="13">
      <c r="A13" s="64" t="str">
        <v>基准价</v>
      </c>
      <c r="B13" s="61" t="str">
        <v>中台-成本工程师</v>
      </c>
      <c r="C13" s="62" t="str">
        <v>产品明细成本查看表</v>
      </c>
      <c r="D13" s="66" t="str">
        <v>查看</v>
      </c>
      <c r="F13" s="59" t="str">
        <v>研发</v>
      </c>
      <c r="G13" s="67" t="str">
        <v>管理层</v>
      </c>
      <c r="H13" s="65"/>
      <c r="I13" s="62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68"/>
      <c r="V13" s="46"/>
      <c r="W13" s="46"/>
      <c r="X13" s="46"/>
      <c r="Y13" s="46"/>
      <c r="Z13" s="46"/>
      <c r="AA13" s="46"/>
      <c r="AB13" s="46"/>
    </row>
    <row r="14">
      <c r="A14" s="64" t="str">
        <v>基准价</v>
      </c>
      <c r="B14" s="61" t="str">
        <v>中台-GTS工程师</v>
      </c>
      <c r="C14" s="62" t="str">
        <v>工程服务价格填报表</v>
      </c>
      <c r="D14" s="66" t="str">
        <v>查看和编辑</v>
      </c>
      <c r="F14" s="59" t="str">
        <v>研发</v>
      </c>
      <c r="G14" s="63" t="str">
        <v>运营层</v>
      </c>
      <c r="H14" s="78"/>
      <c r="I14" s="77"/>
      <c r="J14" s="60" t="str">
        <v>所属公司</v>
      </c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3"/>
      <c r="V14" s="46"/>
      <c r="W14" s="46"/>
      <c r="X14" s="46"/>
      <c r="Y14" s="46"/>
      <c r="Z14" s="46"/>
      <c r="AA14" s="46"/>
      <c r="AB14" s="46"/>
    </row>
    <row customHeight="true" ht="19" r="15">
      <c r="A15" s="64" t="str">
        <v>基准价</v>
      </c>
      <c r="B15" s="61" t="str">
        <v>中台-FIBP</v>
      </c>
      <c r="C15" s="62" t="str">
        <v>分摊费用比例填报表</v>
      </c>
      <c r="D15" s="66" t="str">
        <v>查看和编辑</v>
      </c>
      <c r="F15" s="59" t="str">
        <v>研发</v>
      </c>
      <c r="G15" s="68" t="str">
        <v>执行层</v>
      </c>
      <c r="H15" s="63"/>
      <c r="I15" s="63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3"/>
      <c r="V15" s="46"/>
      <c r="W15" s="46"/>
      <c r="X15" s="46"/>
      <c r="Y15" s="46"/>
      <c r="Z15" s="46"/>
      <c r="AA15" s="46"/>
      <c r="AB15" s="46"/>
    </row>
    <row r="16">
      <c r="A16" s="64" t="str">
        <v>基准价</v>
      </c>
      <c r="B16" s="61" t="str">
        <v>中台-商设工程师</v>
      </c>
      <c r="C16" s="62" t="str">
        <v>价格系数与额外质保比例填报表</v>
      </c>
      <c r="D16" s="66" t="str">
        <v>查看和编辑</v>
      </c>
      <c r="F16" s="59" t="str">
        <v>制造</v>
      </c>
      <c r="G16" s="67" t="str">
        <v>管理层</v>
      </c>
      <c r="H16" s="63"/>
      <c r="I16" s="63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3"/>
      <c r="V16" s="46"/>
      <c r="W16" s="46"/>
      <c r="X16" s="46"/>
      <c r="Y16" s="46"/>
      <c r="Z16" s="46"/>
      <c r="AA16" s="46"/>
      <c r="AB16" s="46"/>
    </row>
    <row r="17">
      <c r="A17" s="64" t="str">
        <v>基准价</v>
      </c>
      <c r="B17" s="61" t="str">
        <v>中台-商设工程师</v>
      </c>
      <c r="C17" s="62" t="str">
        <v>Sparts市场价与系数填报表</v>
      </c>
      <c r="D17" s="66" t="str">
        <v>查看和编辑</v>
      </c>
      <c r="F17" s="59" t="str">
        <v>制造</v>
      </c>
      <c r="G17" s="63" t="str">
        <v>运营层</v>
      </c>
      <c r="H17" s="63"/>
      <c r="I17" s="63"/>
      <c r="J17" s="60" t="str">
        <v>所属公司</v>
      </c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3"/>
      <c r="V17" s="46"/>
      <c r="W17" s="46"/>
      <c r="X17" s="46"/>
      <c r="Y17" s="46"/>
      <c r="Z17" s="46"/>
      <c r="AA17" s="46"/>
      <c r="AB17" s="46"/>
    </row>
    <row r="18">
      <c r="F18" s="59" t="str">
        <v>制造</v>
      </c>
      <c r="G18" s="63" t="str">
        <v>执行层</v>
      </c>
      <c r="H18" s="63"/>
      <c r="I18" s="63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3"/>
      <c r="V18" s="46"/>
      <c r="W18" s="46"/>
      <c r="X18" s="46"/>
      <c r="Y18" s="46"/>
      <c r="Z18" s="46"/>
      <c r="AA18" s="46"/>
      <c r="AB18" s="46"/>
    </row>
    <row r="19">
      <c r="F19" s="69" t="str">
        <v>质量</v>
      </c>
      <c r="G19" s="67" t="str">
        <v>管理层</v>
      </c>
      <c r="H19" s="63"/>
      <c r="I19" s="63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3"/>
      <c r="V19" s="46"/>
      <c r="W19" s="46"/>
      <c r="X19" s="46"/>
      <c r="Y19" s="46"/>
      <c r="Z19" s="46"/>
      <c r="AA19" s="46"/>
      <c r="AB19" s="46"/>
    </row>
    <row r="20">
      <c r="F20" s="69" t="str">
        <v>质量</v>
      </c>
      <c r="G20" s="63" t="str">
        <v>运营层</v>
      </c>
      <c r="H20" s="63"/>
      <c r="I20" s="63"/>
      <c r="J20" s="60" t="str">
        <v>所属公司</v>
      </c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3"/>
      <c r="V20" s="46"/>
      <c r="W20" s="46"/>
      <c r="X20" s="46"/>
      <c r="Y20" s="46"/>
      <c r="Z20" s="46"/>
      <c r="AA20" s="46"/>
      <c r="AB20" s="46"/>
    </row>
    <row r="21">
      <c r="F21" s="69" t="str">
        <v>质量</v>
      </c>
      <c r="G21" s="63" t="str">
        <v>执行层</v>
      </c>
      <c r="H21" s="63"/>
      <c r="I21" s="63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3"/>
      <c r="V21" s="46"/>
      <c r="W21" s="46"/>
      <c r="X21" s="46"/>
      <c r="Y21" s="46"/>
      <c r="Z21" s="46"/>
      <c r="AA21" s="46"/>
      <c r="AB21" s="46"/>
    </row>
    <row r="22">
      <c r="F22" s="59" t="str">
        <v>计划</v>
      </c>
      <c r="G22" s="63" t="str">
        <v>……</v>
      </c>
      <c r="H22" s="63"/>
      <c r="I22" s="63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3"/>
      <c r="V22" s="46"/>
      <c r="W22" s="46"/>
      <c r="X22" s="46"/>
      <c r="Y22" s="46"/>
      <c r="Z22" s="46"/>
      <c r="AA22" s="46"/>
      <c r="AB22" s="46"/>
    </row>
    <row r="23">
      <c r="F23" s="59" t="str">
        <v>物流</v>
      </c>
      <c r="G23" s="63" t="str">
        <v>……</v>
      </c>
      <c r="H23" s="63"/>
      <c r="I23" s="63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46"/>
      <c r="W23" s="46"/>
      <c r="X23" s="46"/>
      <c r="Y23" s="46"/>
      <c r="Z23" s="46"/>
      <c r="AA23" s="46"/>
      <c r="AB23" s="46"/>
    </row>
    <row r="24">
      <c r="F24" s="59" t="str">
        <v>采购</v>
      </c>
      <c r="G24" s="63" t="str">
        <v>……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46"/>
      <c r="W24" s="46"/>
      <c r="X24" s="46"/>
      <c r="Y24" s="46"/>
      <c r="Z24" s="46"/>
      <c r="AA24" s="46"/>
      <c r="AB24" s="46"/>
    </row>
    <row r="25">
      <c r="F25" s="59" t="str">
        <v>人资</v>
      </c>
      <c r="G25" s="63" t="str">
        <v>……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46"/>
      <c r="W25" s="46"/>
      <c r="X25" s="46"/>
      <c r="Y25" s="46"/>
      <c r="Z25" s="46"/>
      <c r="AA25" s="46"/>
      <c r="AB25" s="46"/>
    </row>
    <row r="26">
      <c r="F26" s="59" t="str">
        <v>财经</v>
      </c>
      <c r="G26" s="63" t="str">
        <v>……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46"/>
      <c r="W26" s="46"/>
      <c r="X26" s="46"/>
      <c r="Y26" s="46"/>
      <c r="Z26" s="46"/>
      <c r="AA26" s="46"/>
      <c r="AB26" s="46"/>
    </row>
    <row r="27">
      <c r="F27" s="59" t="str">
        <v>运营</v>
      </c>
      <c r="G27" s="63" t="str">
        <v>……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46"/>
      <c r="W27" s="46"/>
      <c r="X27" s="46"/>
      <c r="Y27" s="46"/>
      <c r="Z27" s="46"/>
      <c r="AA27" s="46"/>
      <c r="AB27" s="46"/>
    </row>
    <row r="28">
      <c r="F28" s="9" t="str">
        <v>……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46"/>
      <c r="W28" s="46"/>
      <c r="X28" s="46"/>
      <c r="Y28" s="46"/>
      <c r="Z28" s="46"/>
      <c r="AA28" s="46"/>
      <c r="AB28" s="46"/>
    </row>
  </sheetData>
  <mergeCells>
    <mergeCell ref="F1:I1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14"/>
    <col collapsed="false" customWidth="true" hidden="false" max="3" min="3" style="0" width="37"/>
    <col collapsed="false" customWidth="true" hidden="false" max="4" min="4" style="0" width="17"/>
    <col collapsed="false" customWidth="true" hidden="false" max="5" min="5" style="0" width="11"/>
    <col collapsed="false" customWidth="true" hidden="false" max="6" min="6" style="0" width="8"/>
    <col collapsed="false" customWidth="true" hidden="false" max="7" min="7" style="0" width="31"/>
    <col collapsed="false" customWidth="true" hidden="false" max="8" min="8" style="0" width="9"/>
    <col collapsed="false" customWidth="true" hidden="false" max="9" min="9" style="0" width="11"/>
    <col collapsed="false" customWidth="true" hidden="false" max="10" min="10" style="0" width="12"/>
    <col collapsed="false" customWidth="true" hidden="false" max="11" min="11" style="0" width="17"/>
    <col collapsed="false" customWidth="true" hidden="false" max="12" min="12" style="0" width="8"/>
    <col collapsed="false" customWidth="true" hidden="false" max="13" min="13" style="0" width="15"/>
    <col collapsed="false" customWidth="true" hidden="false" max="14" min="14" style="0" width="7"/>
    <col collapsed="false" customWidth="true" hidden="false" max="15" min="15" style="0" width="14"/>
    <col collapsed="false" customWidth="true" hidden="false" max="16" min="16" style="0" width="10"/>
    <col collapsed="false" customWidth="true" hidden="false" max="17" min="17" style="0" width="13"/>
  </cols>
  <sheetData>
    <row r="1">
      <c r="A1" s="27" t="str">
        <v>序号</v>
      </c>
      <c r="B1" s="27" t="str">
        <v>所属企业</v>
      </c>
      <c r="C1" s="27" t="str">
        <v>所在部门</v>
      </c>
      <c r="D1" s="27" t="str">
        <v>所属岗位</v>
      </c>
      <c r="E1" s="27" t="str">
        <v>工号</v>
      </c>
      <c r="F1" s="27" t="str">
        <v>姓名</v>
      </c>
      <c r="G1" s="27" t="str">
        <v>负责测试的业务模块</v>
      </c>
      <c r="H1" s="27" t="str">
        <v>负责测试的数据范围</v>
      </c>
      <c r="I1" s="27"/>
      <c r="J1" s="27"/>
      <c r="K1" s="27"/>
      <c r="L1" s="27"/>
      <c r="M1" s="27"/>
      <c r="N1" s="27"/>
      <c r="O1" s="102" t="str">
        <v>BI系统账号（默认密码：工号*，比如：U0015292*）</v>
      </c>
      <c r="P1" s="102"/>
      <c r="Q1" s="102"/>
      <c r="R1" s="102"/>
      <c r="S1" s="28"/>
      <c r="T1" s="28"/>
      <c r="U1" s="28"/>
    </row>
    <row r="2">
      <c r="A2" s="27"/>
      <c r="B2" s="27"/>
      <c r="C2" s="27"/>
      <c r="D2" s="27"/>
      <c r="E2" s="27"/>
      <c r="F2" s="27"/>
      <c r="G2" s="27"/>
      <c r="H2" s="27" t="str">
        <v>公司</v>
      </c>
      <c r="I2" s="27" t="str">
        <v>研发产品线</v>
      </c>
      <c r="J2" s="27" t="str">
        <v>业务产品线</v>
      </c>
      <c r="K2" s="27" t="str">
        <v>销售区域
(国内国际/大区/战区)</v>
      </c>
      <c r="L2" s="27" t="str">
        <v>销售范围</v>
      </c>
      <c r="M2" s="27" t="str">
        <v>IT系统</v>
      </c>
      <c r="N2" s="27" t="str">
        <v>……</v>
      </c>
      <c r="O2" s="101" t="str">
        <v>授权状态</v>
      </c>
      <c r="P2" s="101" t="str">
        <v>BI账号</v>
      </c>
      <c r="Q2" s="101" t="str">
        <v>授权角色</v>
      </c>
      <c r="R2" s="101" t="str">
        <v>备注</v>
      </c>
      <c r="S2" s="13"/>
      <c r="T2" s="13"/>
      <c r="U2" s="13"/>
    </row>
    <row r="3">
      <c r="A3" s="3">
        <f>ROW()-2</f>
      </c>
      <c r="B3" s="9" t="str">
        <v>深圳洲明</v>
      </c>
      <c r="C3" s="9" t="str">
        <v>人力资源管理中心/HRBP业务伙伴部</v>
      </c>
      <c r="D3" s="9" t="str">
        <v>高级HRIS专员</v>
      </c>
      <c r="E3" s="9" t="str">
        <v>U0015292</v>
      </c>
      <c r="F3" s="9" t="str">
        <v>张丽婷</v>
      </c>
      <c r="G3" s="9"/>
      <c r="H3" s="9" t="str">
        <v>All</v>
      </c>
      <c r="I3" s="9" t="str">
        <v>/</v>
      </c>
      <c r="J3" s="9" t="str">
        <v>/</v>
      </c>
      <c r="K3" s="9" t="str">
        <v>/</v>
      </c>
      <c r="L3" s="9" t="str">
        <v>/</v>
      </c>
      <c r="M3" s="9"/>
      <c r="N3" s="9" t="str">
        <v>/</v>
      </c>
      <c r="O3" s="9" t="str">
        <v>已开通账号</v>
      </c>
      <c r="P3" s="9">
        <f>E3</f>
      </c>
      <c r="Q3" s="9"/>
      <c r="R3" s="9"/>
    </row>
    <row r="4">
      <c r="A4" s="3">
        <f>ROW()-2</f>
      </c>
      <c r="B4" s="25" t="str">
        <v>深圳洲明</v>
      </c>
      <c r="C4" s="9" t="str">
        <v>战略运营管理中心/IT数智部/系统开发部/外围系统开发组</v>
      </c>
      <c r="D4" s="79" t="str">
        <v>中级IT开发工程师</v>
      </c>
      <c r="E4" s="81" t="str">
        <v>U0014001</v>
      </c>
      <c r="F4" s="80" t="str">
        <v>龚晨</v>
      </c>
      <c r="G4" s="9" t="str">
        <v>SRM系统主数据相关报表填报</v>
      </c>
      <c r="H4" s="82"/>
      <c r="I4" s="79"/>
      <c r="J4" s="79"/>
      <c r="K4" s="79"/>
      <c r="L4" s="79"/>
      <c r="M4" s="79" t="str">
        <v>SRM</v>
      </c>
      <c r="N4" s="79"/>
      <c r="O4" s="9" t="str">
        <v>已开通账号</v>
      </c>
      <c r="P4" s="9">
        <f>E4</f>
      </c>
      <c r="Q4" s="79"/>
      <c r="R4" s="79"/>
    </row>
    <row r="5">
      <c r="A5" s="3">
        <f>ROW()-2</f>
      </c>
      <c r="B5" s="25" t="str">
        <v>深圳洲明</v>
      </c>
      <c r="C5" s="9" t="str">
        <v>战略运营管理中心/IT数智部/系统开发部</v>
      </c>
      <c r="D5" s="79" t="str">
        <v>系统开发部经理</v>
      </c>
      <c r="E5" s="81" t="str">
        <v>U000288</v>
      </c>
      <c r="F5" s="80" t="str">
        <v>陈海棠</v>
      </c>
      <c r="G5" s="9" t="str">
        <v>HLY系统主数据相关报表填报</v>
      </c>
      <c r="H5" s="82"/>
      <c r="I5" s="79"/>
      <c r="J5" s="79"/>
      <c r="K5" s="79"/>
      <c r="L5" s="79"/>
      <c r="M5" s="79" t="str">
        <v>HLY</v>
      </c>
      <c r="N5" s="79"/>
      <c r="O5" s="9" t="str">
        <v>已开通账号</v>
      </c>
      <c r="P5" s="9">
        <f>E5</f>
      </c>
      <c r="Q5" s="79"/>
      <c r="R5" s="79"/>
    </row>
    <row r="6">
      <c r="A6" s="3">
        <f>ROW()-2</f>
      </c>
      <c r="B6" s="25" t="str">
        <v>深圳洲明</v>
      </c>
      <c r="C6" s="9" t="str">
        <v>战略运营管理中心/IT数智部/系统开发部</v>
      </c>
      <c r="D6" s="79" t="str">
        <v>系统开发部经理</v>
      </c>
      <c r="E6" s="81" t="str">
        <v>U000288</v>
      </c>
      <c r="F6" s="80" t="str">
        <v>陈海棠</v>
      </c>
      <c r="G6" s="9" t="str">
        <v>OA系统主数据相关报表填报</v>
      </c>
      <c r="H6" s="82"/>
      <c r="I6" s="79"/>
      <c r="J6" s="79"/>
      <c r="K6" s="79"/>
      <c r="L6" s="79"/>
      <c r="M6" s="79" t="str">
        <v>OA</v>
      </c>
      <c r="N6" s="79"/>
      <c r="O6" s="9" t="str">
        <v>已开通账号</v>
      </c>
      <c r="P6" s="9">
        <f>E6</f>
      </c>
      <c r="Q6" s="79"/>
      <c r="R6" s="79"/>
    </row>
    <row r="7">
      <c r="A7" s="3">
        <f>ROW()-2</f>
      </c>
      <c r="B7" s="25" t="str">
        <v>深圳洲明</v>
      </c>
      <c r="C7" s="9" t="str">
        <v>战略运营管理中心/IT数智部/系统开发部/外围系统开发组</v>
      </c>
      <c r="D7" s="79" t="str">
        <v>中级项目经理</v>
      </c>
      <c r="E7" s="81" t="str">
        <v>U0001956</v>
      </c>
      <c r="F7" s="80" t="str">
        <v>刘培</v>
      </c>
      <c r="G7" s="9" t="str">
        <v>PLM系统主数据相关报表填报</v>
      </c>
      <c r="H7" s="82"/>
      <c r="I7" s="79"/>
      <c r="J7" s="79"/>
      <c r="K7" s="79"/>
      <c r="L7" s="79"/>
      <c r="M7" s="79" t="str">
        <v>PLM</v>
      </c>
      <c r="N7" s="79"/>
      <c r="O7" s="9" t="str">
        <v>已开通账号</v>
      </c>
      <c r="P7" s="9">
        <f>E7</f>
      </c>
      <c r="Q7" s="79"/>
      <c r="R7" s="79"/>
    </row>
    <row r="8">
      <c r="A8" s="3">
        <f>ROW()-2</f>
      </c>
      <c r="B8" s="25" t="str">
        <v>深圳洲明</v>
      </c>
      <c r="C8" s="9" t="str">
        <v>战略运营管理中心/IT数智部/系统开发部/智造开发组</v>
      </c>
      <c r="D8" s="79" t="str">
        <v>中级项目经理</v>
      </c>
      <c r="E8" s="81" t="str">
        <v>U0002482</v>
      </c>
      <c r="F8" s="80" t="str">
        <v>尚恒志</v>
      </c>
      <c r="G8" s="9" t="str">
        <v>MES系统主数据相关报表填报</v>
      </c>
      <c r="H8" s="82"/>
      <c r="I8" s="79"/>
      <c r="J8" s="79"/>
      <c r="K8" s="79"/>
      <c r="L8" s="79"/>
      <c r="M8" s="79" t="str">
        <v>MES</v>
      </c>
      <c r="N8" s="79"/>
      <c r="O8" s="9" t="str">
        <v>已开通账号</v>
      </c>
      <c r="P8" s="9">
        <f>E8</f>
      </c>
      <c r="Q8" s="79"/>
      <c r="R8" s="79"/>
    </row>
    <row r="9">
      <c r="A9" s="3">
        <f>ROW()-2</f>
      </c>
      <c r="B9" s="25" t="str">
        <v>深圳洲明</v>
      </c>
      <c r="C9" s="9" t="str">
        <v>战略运营管理中心/IT数智部/系统开发部/智造开发组</v>
      </c>
      <c r="D9" s="79" t="str">
        <v>高级IT开发工程师</v>
      </c>
      <c r="E9" s="81" t="str">
        <v>U0012075</v>
      </c>
      <c r="F9" s="80" t="str">
        <v>谢思思</v>
      </c>
      <c r="G9" s="9" t="str">
        <v>WMS系统主数据相关报表填报</v>
      </c>
      <c r="H9" s="82"/>
      <c r="I9" s="79"/>
      <c r="J9" s="79"/>
      <c r="K9" s="79"/>
      <c r="L9" s="79"/>
      <c r="M9" s="79" t="str">
        <v>WMS</v>
      </c>
      <c r="N9" s="79"/>
      <c r="O9" s="9" t="str">
        <v>已开通账号</v>
      </c>
      <c r="P9" s="9">
        <f>E9</f>
      </c>
      <c r="Q9" s="79"/>
      <c r="R9" s="79"/>
    </row>
    <row r="10">
      <c r="A10" s="3">
        <f>ROW()-2</f>
      </c>
      <c r="B10" s="25" t="str">
        <v>深圳洲明</v>
      </c>
      <c r="C10" s="9" t="str">
        <v>战略运营管理中心/IT数智部/系统开发部/智造开发组</v>
      </c>
      <c r="D10" s="79" t="str">
        <v>高级IT开发工程师</v>
      </c>
      <c r="E10" s="81" t="str">
        <v>U0012638</v>
      </c>
      <c r="F10" s="80" t="str">
        <v>严智轩</v>
      </c>
      <c r="G10" s="9" t="str">
        <v>EAM系统主数据相关报表填报</v>
      </c>
      <c r="H10" s="82"/>
      <c r="I10" s="79"/>
      <c r="J10" s="79"/>
      <c r="K10" s="79"/>
      <c r="L10" s="79"/>
      <c r="M10" s="79" t="str">
        <v>EAM</v>
      </c>
      <c r="N10" s="79"/>
      <c r="O10" s="9" t="str">
        <v>已开通账号</v>
      </c>
      <c r="P10" s="9">
        <f>E10</f>
      </c>
      <c r="Q10" s="79"/>
      <c r="R10" s="79"/>
    </row>
    <row r="11">
      <c r="A11" s="3">
        <f>ROW()-2</f>
      </c>
      <c r="B11" s="25" t="str">
        <v>深圳洲明</v>
      </c>
      <c r="C11" s="9" t="str">
        <v>战略运营管理中心/IT数智部/系统开发部/智造开发组</v>
      </c>
      <c r="D11" s="79" t="str">
        <v>高级IT开发工程师</v>
      </c>
      <c r="E11" s="82" t="str">
        <v>U0012162</v>
      </c>
      <c r="F11" s="80" t="str">
        <v>陈雁灿</v>
      </c>
      <c r="G11" s="9" t="str">
        <v>QMS系统主数据相关报表填报</v>
      </c>
      <c r="H11" s="82"/>
      <c r="I11" s="79"/>
      <c r="J11" s="79"/>
      <c r="K11" s="79"/>
      <c r="L11" s="79"/>
      <c r="M11" s="79" t="str">
        <v>QMS</v>
      </c>
      <c r="N11" s="79"/>
      <c r="O11" s="9" t="str">
        <v>已开通账号</v>
      </c>
      <c r="P11" s="9">
        <f>E11</f>
      </c>
      <c r="Q11" s="79"/>
      <c r="R11" s="79"/>
    </row>
    <row r="12">
      <c r="A12" s="3">
        <f>ROW()-2</f>
      </c>
      <c r="B12" s="25" t="str">
        <v>深圳洲明</v>
      </c>
      <c r="C12" s="9" t="str">
        <v>战略运营管理中心/IT数智部/系统开发部/SAP开发组</v>
      </c>
      <c r="D12" s="79" t="str">
        <v>IT开发专家</v>
      </c>
      <c r="E12" s="81" t="str">
        <v>U000189</v>
      </c>
      <c r="F12" s="80" t="str">
        <v>林佳鸿</v>
      </c>
      <c r="G12" s="9" t="str">
        <v>SAP-ERP系统主数据相关报表填报</v>
      </c>
      <c r="H12" s="82"/>
      <c r="I12" s="79"/>
      <c r="J12" s="79"/>
      <c r="K12" s="79"/>
      <c r="L12" s="79"/>
      <c r="M12" s="79" t="str">
        <v>SAP-ERP</v>
      </c>
      <c r="N12" s="79"/>
      <c r="O12" s="9" t="str">
        <v>已开通账号</v>
      </c>
      <c r="P12" s="9">
        <f>E12</f>
      </c>
      <c r="Q12" s="79"/>
      <c r="R12" s="79"/>
    </row>
    <row r="13">
      <c r="A13" s="3">
        <f>ROW()-2</f>
      </c>
      <c r="B13" s="25" t="str">
        <v>深圳洲明</v>
      </c>
      <c r="C13" s="9" t="str">
        <v>战略运营管理中心/IT数智部/系统开发部/SAP开发组</v>
      </c>
      <c r="D13" s="79" t="str">
        <v>中级软件工程师</v>
      </c>
      <c r="E13" s="81" t="str">
        <v>U0014394</v>
      </c>
      <c r="F13" s="80" t="str">
        <v>刘飞虎</v>
      </c>
      <c r="G13" s="9" t="str">
        <v>SAP-BPC系统主数据相关报表填报</v>
      </c>
      <c r="H13" s="82"/>
      <c r="I13" s="79"/>
      <c r="J13" s="79"/>
      <c r="K13" s="79"/>
      <c r="L13" s="79"/>
      <c r="M13" s="79" t="str">
        <v>SAP-BPC</v>
      </c>
      <c r="N13" s="79"/>
      <c r="O13" s="9" t="str">
        <v>已开通账号</v>
      </c>
      <c r="P13" s="9">
        <f>E13</f>
      </c>
      <c r="Q13" s="79"/>
      <c r="R13" s="79"/>
    </row>
    <row r="14">
      <c r="A14" s="3">
        <f>ROW()-2</f>
      </c>
      <c r="B14" s="25" t="str">
        <v>深圳洲明</v>
      </c>
      <c r="C14" s="9" t="str">
        <v>战略运营管理中心/IT数智部/系统开发部/外围系统开发组</v>
      </c>
      <c r="D14" s="79" t="str">
        <v>中级项目经理</v>
      </c>
      <c r="E14" s="81" t="str">
        <v>U0001956</v>
      </c>
      <c r="F14" s="80" t="str">
        <v>刘培</v>
      </c>
      <c r="G14" s="9" t="str">
        <v>BI系统主数据相关报表填报</v>
      </c>
      <c r="H14" s="82"/>
      <c r="I14" s="79"/>
      <c r="J14" s="79"/>
      <c r="K14" s="79"/>
      <c r="L14" s="79"/>
      <c r="M14" s="79" t="str">
        <v>BI</v>
      </c>
      <c r="N14" s="79"/>
      <c r="O14" s="9" t="str">
        <v>已开通账号</v>
      </c>
      <c r="P14" s="9">
        <f>E14</f>
      </c>
      <c r="Q14" s="79"/>
      <c r="R14" s="79"/>
    </row>
    <row r="15">
      <c r="A15" s="3">
        <f>ROW()-2</f>
      </c>
      <c r="B15" s="9" t="str">
        <v>深圳洲明</v>
      </c>
      <c r="C15" s="9" t="str">
        <v>财经管理中心/供应链财务管理部/财务BP组</v>
      </c>
      <c r="D15" s="9" t="str">
        <v>制造FIBP</v>
      </c>
      <c r="E15" s="9" t="str">
        <v>U0012207</v>
      </c>
      <c r="F15" s="9" t="str">
        <v>钟鑫</v>
      </c>
      <c r="G15" s="6" t="str">
        <v>基准价填报：制费率基线</v>
      </c>
      <c r="H15" s="9"/>
      <c r="I15" s="9"/>
      <c r="J15" s="9"/>
      <c r="K15" s="9"/>
      <c r="L15" s="9"/>
      <c r="M15" s="9"/>
      <c r="N15" s="9"/>
      <c r="O15" s="9" t="str">
        <v>已开通账号</v>
      </c>
      <c r="P15" s="9">
        <f>E15</f>
      </c>
      <c r="Q15" s="9"/>
      <c r="R15" s="9"/>
    </row>
    <row r="16">
      <c r="A16" s="3">
        <f>ROW()-2</f>
      </c>
      <c r="B16" s="9" t="str">
        <v>深圳洲明</v>
      </c>
      <c r="C16" s="9" t="str">
        <v>财经管理中心/供应链财务管理部/财务BP组</v>
      </c>
      <c r="D16" s="9" t="str">
        <v>产品线FIBP</v>
      </c>
      <c r="E16" s="9" t="str">
        <v>U0007020</v>
      </c>
      <c r="F16" s="9" t="str">
        <v>黄建高</v>
      </c>
      <c r="G16" s="9" t="str">
        <v>基准价填报：费用分摊比例</v>
      </c>
      <c r="H16" s="9"/>
      <c r="I16" s="9"/>
      <c r="J16" s="9"/>
      <c r="K16" s="9"/>
      <c r="L16" s="9"/>
      <c r="M16" s="9"/>
      <c r="N16" s="9"/>
      <c r="O16" s="9" t="str">
        <v>已开通账号</v>
      </c>
      <c r="P16" s="9">
        <f>E16</f>
      </c>
      <c r="Q16" s="9"/>
      <c r="R16" s="43"/>
    </row>
    <row r="17">
      <c r="A17" s="3">
        <f>ROW()-2</f>
      </c>
      <c r="B17" s="9" t="str">
        <v>深圳洲明</v>
      </c>
      <c r="C17" s="9" t="str">
        <v>显示产品线/固装产品线/产品开发部/户内开发部</v>
      </c>
      <c r="D17" s="9" t="str">
        <v>成本专业经理</v>
      </c>
      <c r="E17" s="9" t="str">
        <v>U0004350</v>
      </c>
      <c r="F17" s="9" t="str">
        <v>柘忠良</v>
      </c>
      <c r="G17" s="6" t="str">
        <v>基准价填报：损耗率&amp;委外成本、制费率、产品测算成本展示、产品最高测算成本展示、产品测算成本明细</v>
      </c>
      <c r="H17" s="9"/>
      <c r="I17" s="9" t="str">
        <v>固装、租赁、
解决方案</v>
      </c>
      <c r="J17" s="9"/>
      <c r="K17" s="9"/>
      <c r="L17" s="9"/>
      <c r="M17" s="9"/>
      <c r="N17" s="9"/>
      <c r="O17" s="9" t="str">
        <v>已开通账号</v>
      </c>
      <c r="P17" s="9">
        <f>E17</f>
      </c>
      <c r="Q17" s="25"/>
      <c r="R17" s="9"/>
    </row>
    <row r="18">
      <c r="A18" s="3">
        <f>ROW()-2</f>
      </c>
      <c r="B18" s="9" t="str">
        <v>深圳洲明</v>
      </c>
      <c r="C18" s="9" t="str">
        <v>显示产品线/分销产品线/研发部</v>
      </c>
      <c r="D18" s="9" t="str">
        <v>成本专业经理</v>
      </c>
      <c r="E18" s="9" t="str">
        <v>U0011632</v>
      </c>
      <c r="F18" s="9" t="str">
        <v>吴昌燕</v>
      </c>
      <c r="G18" s="6" t="str">
        <v>基准价填报：损耗率&amp;委外成本、制费率、分销-制费、产品测算成本展示、产品最高测算成本展示、产品测算成本明细</v>
      </c>
      <c r="H18" s="9"/>
      <c r="I18" s="9" t="str">
        <v>分销</v>
      </c>
      <c r="J18" s="9"/>
      <c r="K18" s="9"/>
      <c r="L18" s="9"/>
      <c r="M18" s="9"/>
      <c r="N18" s="9"/>
      <c r="O18" s="9" t="str">
        <v>已开通账号</v>
      </c>
      <c r="P18" s="9">
        <f>E18</f>
      </c>
      <c r="Q18" s="25"/>
      <c r="R18" s="9"/>
    </row>
    <row r="19">
      <c r="A19" s="3">
        <f>ROW()-2</f>
      </c>
      <c r="B19" s="9" t="str">
        <v>深圳洲明</v>
      </c>
      <c r="C19" s="9" t="str">
        <v>显示产品线/分销产品线/研发部</v>
      </c>
      <c r="D19" s="9" t="str">
        <v>成本专业经理</v>
      </c>
      <c r="E19" s="9" t="str">
        <v>U0009448</v>
      </c>
      <c r="F19" s="9" t="str">
        <v>刘秀红</v>
      </c>
      <c r="G19" s="6" t="str">
        <v>基准价填报：损耗率&amp;委外成本、制费率、分销-制费、产品测算成本展示、产品最高测算成本展示、产品测算成本明细</v>
      </c>
      <c r="H19" s="9"/>
      <c r="I19" s="9" t="str">
        <v>分销</v>
      </c>
      <c r="J19" s="9"/>
      <c r="K19" s="9"/>
      <c r="L19" s="9"/>
      <c r="M19" s="9"/>
      <c r="N19" s="9"/>
      <c r="O19" s="9" t="str">
        <v>已开通账号</v>
      </c>
      <c r="P19" s="9">
        <f>E19</f>
      </c>
      <c r="Q19" s="25"/>
      <c r="R19" s="9"/>
      <c r="S19" s="14"/>
    </row>
    <row r="20">
      <c r="A20" s="3">
        <f>ROW()-2</f>
      </c>
      <c r="B20" s="9" t="str">
        <v>深圳洲明</v>
      </c>
      <c r="C20" s="9" t="str">
        <v>智能制造中心/大亚湾制造基地/资材部</v>
      </c>
      <c r="D20" s="9" t="str">
        <v>总监</v>
      </c>
      <c r="E20" s="9" t="str">
        <v>U0002276</v>
      </c>
      <c r="F20" s="9" t="str">
        <v>李明生</v>
      </c>
      <c r="G20" s="6" t="str">
        <v>基准价填报：供货比例</v>
      </c>
      <c r="H20" s="9"/>
      <c r="I20" s="9"/>
      <c r="J20" s="9"/>
      <c r="K20" s="9"/>
      <c r="L20" s="9"/>
      <c r="M20" s="9"/>
      <c r="N20" s="9"/>
      <c r="O20" s="9" t="str">
        <v>已开通账号</v>
      </c>
      <c r="P20" s="9">
        <f>E20</f>
      </c>
      <c r="Q20" s="25"/>
      <c r="R20" s="9"/>
    </row>
    <row r="21">
      <c r="A21" s="3">
        <f>ROW()-2</f>
      </c>
      <c r="B21" s="9" t="str">
        <v>深圳洲明</v>
      </c>
      <c r="C21" s="9" t="str">
        <v>显示产品线/产品管理中心/商业设计部</v>
      </c>
      <c r="D21" s="9" t="str">
        <v>初级产品经理</v>
      </c>
      <c r="E21" s="9" t="str">
        <v>U0011766</v>
      </c>
      <c r="F21" s="9" t="str">
        <v>杨朝阳</v>
      </c>
      <c r="G21" s="9" t="str">
        <v>基准价逻辑、价格系数与额外质保比例、Sparts市场价与系数</v>
      </c>
      <c r="H21" s="9"/>
      <c r="I21" s="9"/>
      <c r="J21" s="9"/>
      <c r="K21" s="9"/>
      <c r="L21" s="9"/>
      <c r="M21" s="9"/>
      <c r="N21" s="9"/>
      <c r="O21" s="9" t="str">
        <v>已开通账号</v>
      </c>
      <c r="P21" s="9">
        <f>E21</f>
      </c>
      <c r="Q21" s="25"/>
      <c r="R21" s="9"/>
    </row>
    <row r="22">
      <c r="A22" s="3">
        <f>ROW()-2</f>
      </c>
      <c r="B22" s="9" t="str">
        <v>深圳洲明</v>
      </c>
      <c r="C22" s="9" t="str">
        <v>服务与质量中心/GTS/工程交付部/合同履约部</v>
      </c>
      <c r="D22" s="9" t="str">
        <v>售后服务</v>
      </c>
      <c r="E22" s="9" t="str">
        <v>U0012517</v>
      </c>
      <c r="F22" s="9" t="str">
        <v>陈东军</v>
      </c>
      <c r="G22" s="6" t="str">
        <v>基准价填报：工程服务价格填报</v>
      </c>
      <c r="H22" s="9"/>
      <c r="I22" s="9"/>
      <c r="J22" s="9"/>
      <c r="K22" s="9"/>
      <c r="L22" s="9"/>
      <c r="M22" s="9"/>
      <c r="N22" s="9"/>
      <c r="O22" s="9" t="str">
        <v>已开通账号</v>
      </c>
      <c r="P22" s="9">
        <f>E22</f>
      </c>
      <c r="Q22" s="25"/>
      <c r="R22" s="9"/>
    </row>
    <row r="23">
      <c r="A23" s="91">
        <f>ROW()-2</f>
      </c>
      <c r="B23" s="43" t="str">
        <v>深圳洲明</v>
      </c>
      <c r="C23" s="43" t="str">
        <v>国内营销中心/国内运营部/运营质量部</v>
      </c>
      <c r="D23" s="43" t="str">
        <v>销服运营</v>
      </c>
      <c r="E23" s="43" t="str">
        <v>U001205</v>
      </c>
      <c r="F23" s="43" t="str">
        <v>雷慧丹</v>
      </c>
      <c r="G23" s="9" t="str">
        <v>业绩目标；业绩预估；经营周报-销服</v>
      </c>
      <c r="H23" s="9" t="str">
        <v>深圳洲明</v>
      </c>
      <c r="I23" s="9" t="str">
        <v>/</v>
      </c>
      <c r="J23" s="9" t="str">
        <v>国内All产品线</v>
      </c>
      <c r="K23" s="9" t="str">
        <v>国内-6大区-各省份</v>
      </c>
      <c r="L23" s="9"/>
      <c r="M23" s="9"/>
      <c r="N23" s="9"/>
      <c r="O23" s="9" t="str">
        <v>已开通账号</v>
      </c>
      <c r="P23" s="9">
        <f>E23</f>
      </c>
      <c r="Q23" s="25"/>
      <c r="R23" s="9"/>
    </row>
    <row r="24">
      <c r="A24" s="3">
        <f>ROW()-2</f>
      </c>
      <c r="B24" s="9" t="str">
        <v>深圳洲明</v>
      </c>
      <c r="C24" s="9" t="str">
        <v>国内营销中心/国内运营部/国内商务部</v>
      </c>
      <c r="D24" s="9" t="str">
        <v>销服运营</v>
      </c>
      <c r="E24" s="9" t="str">
        <v>U0001736</v>
      </c>
      <c r="F24" s="89" t="str">
        <v>王玉娟</v>
      </c>
      <c r="G24" s="9" t="str">
        <v>业绩目标；业绩预估；经营周报-销服</v>
      </c>
      <c r="H24" s="43" t="str">
        <v>深圳洲明</v>
      </c>
      <c r="I24" s="43" t="str">
        <v>/</v>
      </c>
      <c r="J24" s="43" t="str">
        <v>国内All产品线</v>
      </c>
      <c r="K24" s="43" t="str">
        <v>国内-6大区-各省份</v>
      </c>
      <c r="L24" s="43"/>
      <c r="M24" s="43"/>
      <c r="N24" s="43"/>
      <c r="O24" s="9" t="str">
        <v>已开通账号</v>
      </c>
      <c r="P24" s="9">
        <f>E24</f>
      </c>
      <c r="Q24" s="90"/>
      <c r="R24" s="43"/>
    </row>
    <row r="25">
      <c r="A25" s="85">
        <f>ROW()-2</f>
      </c>
      <c r="B25" s="84" t="str">
        <v>深圳洲明</v>
      </c>
      <c r="C25" s="84" t="str">
        <v>国内营销中心/国内运营部/国内商务部</v>
      </c>
      <c r="D25" s="84" t="str">
        <v>销服运营</v>
      </c>
      <c r="E25" s="84" t="str">
        <v>U0012181</v>
      </c>
      <c r="F25" s="97" t="str">
        <v>林玉婷</v>
      </c>
      <c r="G25" s="87" t="str">
        <v>业绩目标；业绩预估；经营周报-销服</v>
      </c>
      <c r="H25" s="84" t="str">
        <v>深圳洲明</v>
      </c>
      <c r="I25" s="84" t="str">
        <v>/</v>
      </c>
      <c r="J25" s="84" t="str">
        <v>国内All产品线</v>
      </c>
      <c r="K25" s="84" t="str">
        <v>国内-6大区-各省份</v>
      </c>
      <c r="L25" s="84"/>
      <c r="M25" s="84"/>
      <c r="N25" s="84"/>
      <c r="O25" s="9" t="str">
        <v>已开通账号</v>
      </c>
      <c r="P25" s="9">
        <f>E25</f>
      </c>
      <c r="Q25" s="84"/>
      <c r="R25" s="84"/>
    </row>
    <row r="26">
      <c r="A26" s="85">
        <f>ROW()-2</f>
      </c>
      <c r="B26" s="84" t="str">
        <v>深圳洲明</v>
      </c>
      <c r="C26" s="84" t="str">
        <v>国内营销中心/国内运营部/国内商务部</v>
      </c>
      <c r="D26" s="84" t="str">
        <v>销服运营</v>
      </c>
      <c r="E26" s="84" t="str">
        <v>U0015118</v>
      </c>
      <c r="F26" s="97" t="str">
        <v>黄嘉嘉</v>
      </c>
      <c r="G26" s="87" t="str">
        <v>业绩目标；业绩预估；经营周报-销服</v>
      </c>
      <c r="H26" s="84" t="str">
        <v>深圳洲明</v>
      </c>
      <c r="I26" s="84" t="str">
        <v>/</v>
      </c>
      <c r="J26" s="84" t="str">
        <v>国内All产品线</v>
      </c>
      <c r="K26" s="84" t="str">
        <v>国内-6大区-各省份</v>
      </c>
      <c r="L26" s="84"/>
      <c r="M26" s="84"/>
      <c r="N26" s="84"/>
      <c r="O26" s="9" t="str">
        <v>已开通账号</v>
      </c>
      <c r="P26" s="9">
        <f>E26</f>
      </c>
      <c r="Q26" s="84"/>
      <c r="R26" s="84"/>
    </row>
    <row r="27">
      <c r="A27" s="85">
        <f>ROW()-2</f>
      </c>
      <c r="B27" s="84" t="str">
        <v>深圳洲明</v>
      </c>
      <c r="C27" s="84" t="str">
        <v>国内营销中心/国内运营部/国内商务部</v>
      </c>
      <c r="D27" s="84" t="str">
        <v>销服运营</v>
      </c>
      <c r="E27" s="84" t="str">
        <v>U0004502</v>
      </c>
      <c r="F27" s="97" t="str">
        <v>田丽</v>
      </c>
      <c r="G27" s="87" t="str">
        <v>业绩目标；业绩预估；经营周报-销服</v>
      </c>
      <c r="H27" s="84" t="str">
        <v>深圳洲明</v>
      </c>
      <c r="I27" s="84" t="str">
        <v>/</v>
      </c>
      <c r="J27" s="84" t="str">
        <v>国内All产品线</v>
      </c>
      <c r="K27" s="84" t="str">
        <v>国内-6大区-各省份</v>
      </c>
      <c r="L27" s="84"/>
      <c r="M27" s="84"/>
      <c r="N27" s="84"/>
      <c r="O27" s="9" t="str">
        <v>已开通账号</v>
      </c>
      <c r="P27" s="9">
        <f>E27</f>
      </c>
      <c r="Q27" s="84"/>
      <c r="R27" s="84"/>
    </row>
    <row r="28">
      <c r="A28" s="3">
        <f>ROW()-2</f>
      </c>
      <c r="B28" s="9" t="str">
        <v>深圳洲明</v>
      </c>
      <c r="C28" s="9" t="str">
        <v>国际营销中心/国际运营部</v>
      </c>
      <c r="D28" s="9" t="str">
        <v>销服运营</v>
      </c>
      <c r="E28" s="9" t="str">
        <v>U000140</v>
      </c>
      <c r="F28" s="99" t="str">
        <v>陈益萍</v>
      </c>
      <c r="G28" s="9" t="str">
        <v>业绩目标；业绩预估；经营周报-销服</v>
      </c>
      <c r="H28" s="31" t="str">
        <v>深圳洲明</v>
      </c>
      <c r="I28" s="31" t="str">
        <v>/</v>
      </c>
      <c r="J28" s="100" t="str">
        <v>国际All产品线</v>
      </c>
      <c r="K28" s="31" t="str">
        <v>国际-8大区-各战区</v>
      </c>
      <c r="L28" s="31"/>
      <c r="M28" s="31"/>
      <c r="N28" s="31"/>
      <c r="O28" s="9" t="str">
        <v>已开通账号</v>
      </c>
      <c r="P28" s="9">
        <f>E28</f>
      </c>
      <c r="Q28" s="98"/>
      <c r="R28" s="31"/>
    </row>
    <row r="29">
      <c r="A29" s="85">
        <f>ROW()-2</f>
      </c>
      <c r="B29" s="84" t="str">
        <v>深圳洲明</v>
      </c>
      <c r="C29" s="84" t="str">
        <v>国际营销中心/国际运营部</v>
      </c>
      <c r="D29" s="84" t="str">
        <v>销服运营</v>
      </c>
      <c r="E29" s="87" t="str">
        <v>U0010113</v>
      </c>
      <c r="F29" s="86" t="str">
        <v>陈姣</v>
      </c>
      <c r="G29" s="87" t="str">
        <v>业绩目标；业绩预估；经营周报-销服</v>
      </c>
      <c r="H29" s="87" t="str">
        <v>深圳洲明</v>
      </c>
      <c r="I29" s="87" t="str">
        <v>/</v>
      </c>
      <c r="J29" s="93" t="str">
        <v>国际All产品线</v>
      </c>
      <c r="K29" s="87" t="str">
        <v>国际-8大区-各战区</v>
      </c>
      <c r="L29" s="84"/>
      <c r="M29" s="84"/>
      <c r="N29" s="84"/>
      <c r="O29" s="9" t="str">
        <v>已开通账号</v>
      </c>
      <c r="P29" s="9">
        <f>E29</f>
      </c>
      <c r="Q29" s="84"/>
      <c r="R29" s="87"/>
    </row>
    <row r="30">
      <c r="A30" s="85">
        <f>ROW()-2</f>
      </c>
      <c r="B30" s="84" t="str">
        <v>深圳洲明</v>
      </c>
      <c r="C30" s="84" t="str">
        <v>国际营销中心/国际运营部</v>
      </c>
      <c r="D30" s="84" t="str">
        <v>销服运营</v>
      </c>
      <c r="E30" s="87" t="str">
        <v>U0002178</v>
      </c>
      <c r="F30" s="92" t="str">
        <v>杨静丹</v>
      </c>
      <c r="G30" s="87" t="str">
        <v>业绩目标；业绩预估；经营周报-销服</v>
      </c>
      <c r="H30" s="87" t="str">
        <v>深圳洲明</v>
      </c>
      <c r="I30" s="87" t="str">
        <v>/</v>
      </c>
      <c r="J30" s="93" t="str">
        <v>国际All产品线</v>
      </c>
      <c r="K30" s="87" t="str">
        <v>国际-8大区-各战区</v>
      </c>
      <c r="L30" s="84"/>
      <c r="M30" s="84"/>
      <c r="N30" s="84"/>
      <c r="O30" s="9" t="str">
        <v>已开通账号</v>
      </c>
      <c r="P30" s="9">
        <f>E30</f>
      </c>
      <c r="Q30" s="84"/>
      <c r="R30" s="87"/>
    </row>
    <row r="31">
      <c r="A31" s="85">
        <f>ROW()-2</f>
      </c>
      <c r="B31" s="84" t="str">
        <v>深圳洲明</v>
      </c>
      <c r="C31" s="84" t="str">
        <v>国际营销中心/国际运营部</v>
      </c>
      <c r="D31" s="84" t="str">
        <v>销服运营</v>
      </c>
      <c r="E31" s="96" t="str">
        <v>U0009663</v>
      </c>
      <c r="F31" s="86" t="str">
        <v>黄燕珍</v>
      </c>
      <c r="G31" s="87" t="str">
        <v>业绩目标；业绩预估；经营周报-销服</v>
      </c>
      <c r="H31" s="87" t="str">
        <v>深圳洲明</v>
      </c>
      <c r="I31" s="87" t="str">
        <v>/</v>
      </c>
      <c r="J31" s="93" t="str">
        <v>国际All产品线</v>
      </c>
      <c r="K31" s="87" t="str">
        <v>国际-8大区-各战区</v>
      </c>
      <c r="L31" s="84"/>
      <c r="M31" s="84"/>
      <c r="N31" s="84"/>
      <c r="O31" s="9" t="str">
        <v>已开通账号</v>
      </c>
      <c r="P31" s="9">
        <f>E31</f>
      </c>
      <c r="Q31" s="84"/>
      <c r="R31" s="87"/>
    </row>
    <row r="32">
      <c r="A32" s="32">
        <f>ROW()-2</f>
      </c>
      <c r="B32" s="31" t="str">
        <v>深圳洲明</v>
      </c>
      <c r="C32" s="31" t="str">
        <v>洲明文创</v>
      </c>
      <c r="D32" s="95" t="str">
        <v>销服运营</v>
      </c>
      <c r="E32" s="31" t="str">
        <v>U0010503</v>
      </c>
      <c r="F32" s="94" t="str">
        <v>黄丹梅</v>
      </c>
      <c r="G32" s="9" t="str">
        <v>业绩目标；业绩预估；经营周报-销服</v>
      </c>
      <c r="H32" s="9" t="str">
        <v>深圳洲明</v>
      </c>
      <c r="I32" s="9" t="str">
        <v>/</v>
      </c>
      <c r="J32" s="48" t="str">
        <v>国内-文创
国际-文创</v>
      </c>
      <c r="K32" s="9" t="str">
        <v>国内-6大区-各省份
国际-8大区-各战区</v>
      </c>
      <c r="L32" s="9"/>
      <c r="M32" s="9"/>
      <c r="N32" s="9"/>
      <c r="O32" s="9" t="str">
        <v>已开通账号</v>
      </c>
      <c r="P32" s="9">
        <f>E32</f>
      </c>
      <c r="Q32" s="9"/>
      <c r="R32" s="31"/>
    </row>
    <row r="33">
      <c r="A33" s="3">
        <f>ROW()-2</f>
      </c>
      <c r="B33" s="9" t="str">
        <v>深圳洲明</v>
      </c>
      <c r="C33" s="9" t="str">
        <v>财经管理中心/销服财务管理部/销服财务BP组</v>
      </c>
      <c r="D33" s="8" t="str">
        <v>销服FIBP</v>
      </c>
      <c r="E33" s="48" t="str">
        <v>U0010027</v>
      </c>
      <c r="F33" s="9" t="str">
        <v>杜茜</v>
      </c>
      <c r="G33" s="9" t="str">
        <v>业绩目标；业绩预估；经营周报-销服</v>
      </c>
      <c r="H33" s="9" t="str">
        <v>深圳洲明</v>
      </c>
      <c r="I33" s="9" t="str">
        <v>/</v>
      </c>
      <c r="J33" s="8" t="str">
        <v>国内All产品线</v>
      </c>
      <c r="K33" s="9" t="str">
        <v>国内-6大区-各省份</v>
      </c>
      <c r="L33" s="9"/>
      <c r="M33" s="9"/>
      <c r="N33" s="9"/>
      <c r="O33" s="9" t="str">
        <v>已开通账号</v>
      </c>
      <c r="P33" s="9">
        <f>E33</f>
      </c>
      <c r="Q33" s="9"/>
      <c r="R33" s="9"/>
    </row>
    <row r="34">
      <c r="A34" s="85">
        <f>ROW()-2</f>
      </c>
      <c r="B34" s="84" t="str">
        <v>深圳洲明</v>
      </c>
      <c r="C34" s="84" t="str">
        <v>财经管理中心/销服财务管理部/销服财务BP组</v>
      </c>
      <c r="D34" s="86" t="str">
        <v>销服FIBP</v>
      </c>
      <c r="E34" s="84" t="str">
        <v>U0012005</v>
      </c>
      <c r="F34" s="84" t="str">
        <v>杨嘉建</v>
      </c>
      <c r="G34" s="87" t="str">
        <v>业绩目标；业绩预估；经营周报-销服</v>
      </c>
      <c r="H34" s="84" t="str">
        <v>深圳洲明</v>
      </c>
      <c r="I34" s="84" t="str">
        <v>/</v>
      </c>
      <c r="J34" s="86" t="str">
        <v>国内All产品线</v>
      </c>
      <c r="K34" s="84" t="str">
        <v>国内-6大区-各省份</v>
      </c>
      <c r="L34" s="84"/>
      <c r="M34" s="84"/>
      <c r="N34" s="84"/>
      <c r="O34" s="9" t="str">
        <v>已开通账号</v>
      </c>
      <c r="P34" s="9">
        <f>E34</f>
      </c>
      <c r="Q34" s="84"/>
      <c r="R34" s="84"/>
    </row>
    <row r="35">
      <c r="A35" s="85">
        <f>ROW()-2</f>
      </c>
      <c r="B35" s="84" t="str">
        <v>深圳洲明</v>
      </c>
      <c r="C35" s="84" t="str">
        <v>财经管理中心/销服财务管理部/销服财务BP组</v>
      </c>
      <c r="D35" s="86" t="str">
        <v>销服FIBP</v>
      </c>
      <c r="E35" s="84" t="str">
        <v>U0013776</v>
      </c>
      <c r="F35" s="84" t="str">
        <v>邓晖蓉</v>
      </c>
      <c r="G35" s="87" t="str">
        <v>业绩目标；业绩预估；经营周报-销服</v>
      </c>
      <c r="H35" s="84" t="str">
        <v>深圳洲明</v>
      </c>
      <c r="I35" s="84" t="str">
        <v>/</v>
      </c>
      <c r="J35" s="86" t="str">
        <v>国内All产品线</v>
      </c>
      <c r="K35" s="84" t="str">
        <v>国内-6大区-各省份</v>
      </c>
      <c r="L35" s="84"/>
      <c r="M35" s="84"/>
      <c r="N35" s="84"/>
      <c r="O35" s="9" t="str">
        <v>已开通账号</v>
      </c>
      <c r="P35" s="9">
        <f>E35</f>
      </c>
      <c r="Q35" s="84"/>
      <c r="R35" s="84"/>
    </row>
    <row r="36">
      <c r="A36" s="3">
        <f>ROW()-2</f>
      </c>
      <c r="B36" s="9" t="str">
        <v>深圳洲明</v>
      </c>
      <c r="C36" s="9" t="str">
        <v>财经管理中心/销服财务管理部/销服财务BP组</v>
      </c>
      <c r="D36" s="8" t="str">
        <v>销服FIBP</v>
      </c>
      <c r="E36" s="48" t="str">
        <v>U0001959</v>
      </c>
      <c r="F36" s="9" t="str">
        <v>杨美琴</v>
      </c>
      <c r="G36" s="9" t="str">
        <v>业绩目标；业绩预估；经营周报-销服</v>
      </c>
      <c r="H36" s="9" t="str">
        <v>深圳洲明</v>
      </c>
      <c r="I36" s="9" t="str">
        <v>/</v>
      </c>
      <c r="J36" s="83" t="str">
        <v>国际All产品线</v>
      </c>
      <c r="K36" s="9" t="str">
        <v>国际-8大区-各战区</v>
      </c>
      <c r="L36" s="9"/>
      <c r="M36" s="9"/>
      <c r="N36" s="9"/>
      <c r="O36" s="9" t="str">
        <v>已开通账号</v>
      </c>
      <c r="P36" s="9">
        <f>E36</f>
      </c>
      <c r="Q36" s="9"/>
      <c r="R36" s="9"/>
    </row>
    <row r="37">
      <c r="A37" s="85">
        <f>ROW()-2</f>
      </c>
      <c r="B37" s="84" t="str">
        <v>深圳洲明</v>
      </c>
      <c r="C37" s="84" t="str">
        <v>财经管理中心/销服财务管理部/销服财务BP组</v>
      </c>
      <c r="D37" s="86" t="str">
        <v>销服FIBP</v>
      </c>
      <c r="E37" s="84" t="str">
        <v>U0003037</v>
      </c>
      <c r="F37" s="92" t="str">
        <v>周亦涛</v>
      </c>
      <c r="G37" s="87" t="str">
        <v>业绩目标；业绩预估；经营周报-销服</v>
      </c>
      <c r="H37" s="84" t="str">
        <v>深圳洲明</v>
      </c>
      <c r="I37" s="84" t="str">
        <v>/</v>
      </c>
      <c r="J37" s="97" t="str">
        <v>国际All产品线</v>
      </c>
      <c r="K37" s="84" t="str">
        <v>国际-8大区-各战区</v>
      </c>
      <c r="L37" s="84"/>
      <c r="M37" s="84"/>
      <c r="N37" s="84"/>
      <c r="O37" s="9" t="str">
        <v>已开通账号</v>
      </c>
      <c r="P37" s="9">
        <f>E37</f>
      </c>
      <c r="Q37" s="84"/>
      <c r="R37" s="84"/>
    </row>
    <row r="38">
      <c r="A38" s="3">
        <f>ROW()-2</f>
      </c>
      <c r="B38" s="9" t="str">
        <v>深圳洲明</v>
      </c>
      <c r="C38" s="9" t="str">
        <v>财经管理中心</v>
      </c>
      <c r="D38" s="31" t="str">
        <v>财务总经理</v>
      </c>
      <c r="E38" s="9" t="str">
        <v>U000998</v>
      </c>
      <c r="F38" s="9" t="str">
        <v>王群斌</v>
      </c>
      <c r="G38" s="25" t="str">
        <v>经营周报-集团
经营周报-销服</v>
      </c>
      <c r="H38" s="9" t="str">
        <v>深圳洲明</v>
      </c>
      <c r="I38" s="9" t="str">
        <v>/</v>
      </c>
      <c r="J38" s="48" t="str">
        <v>All</v>
      </c>
      <c r="K38" s="9" t="str">
        <v>All</v>
      </c>
      <c r="L38" s="9"/>
      <c r="M38" s="9"/>
      <c r="N38" s="9"/>
      <c r="O38" s="9" t="str">
        <v>已开通账号</v>
      </c>
      <c r="P38" s="9">
        <f>E38</f>
      </c>
      <c r="Q38" s="9"/>
      <c r="R38" s="9"/>
    </row>
    <row r="39">
      <c r="A39" s="3">
        <f>ROW()-2</f>
      </c>
      <c r="B39" s="9" t="str">
        <v>深圳洲明</v>
      </c>
      <c r="C39" s="9" t="str">
        <v>财经管理中心</v>
      </c>
      <c r="D39" s="31" t="str">
        <v>总监</v>
      </c>
      <c r="E39" s="9" t="str">
        <v>U0001337</v>
      </c>
      <c r="F39" s="43" t="str">
        <v>尹雅媛</v>
      </c>
      <c r="G39" s="25" t="str">
        <v>经营周报-集团
经营周报-销服</v>
      </c>
      <c r="H39" s="9" t="str">
        <v>深圳洲明</v>
      </c>
      <c r="I39" s="9" t="str">
        <v>/</v>
      </c>
      <c r="J39" s="48" t="str">
        <v>All</v>
      </c>
      <c r="K39" s="9" t="str">
        <v>All</v>
      </c>
      <c r="L39" s="9"/>
      <c r="M39" s="9"/>
      <c r="N39" s="9"/>
      <c r="O39" s="9" t="str">
        <v>已开通账号</v>
      </c>
      <c r="P39" s="9">
        <f>E39</f>
      </c>
      <c r="Q39" s="9"/>
      <c r="R39" s="9"/>
    </row>
    <row r="40">
      <c r="A40" s="3">
        <f>ROW()-2</f>
      </c>
      <c r="B40" s="9" t="str">
        <v>深圳洲明</v>
      </c>
      <c r="C40" s="9" t="str">
        <v>财经管理中心</v>
      </c>
      <c r="D40" s="31" t="str">
        <v>集团财经运营</v>
      </c>
      <c r="E40" s="25" t="str">
        <v>U0003084</v>
      </c>
      <c r="F40" s="9" t="str">
        <v>杨磊</v>
      </c>
      <c r="G40" s="88" t="str">
        <v>经营周报-集团
经营周报-销服</v>
      </c>
      <c r="H40" s="9" t="str">
        <v>深圳洲明</v>
      </c>
      <c r="I40" s="9" t="str">
        <v>/</v>
      </c>
      <c r="J40" s="48" t="str">
        <v>All</v>
      </c>
      <c r="K40" s="9" t="str">
        <v>All</v>
      </c>
      <c r="L40" s="9"/>
      <c r="M40" s="9"/>
      <c r="N40" s="9"/>
      <c r="O40" s="9" t="str">
        <v>已开通账号</v>
      </c>
      <c r="P40" s="9">
        <f>E40</f>
      </c>
      <c r="Q40" s="9"/>
      <c r="R40" s="9"/>
    </row>
    <row r="41">
      <c r="A41" s="3">
        <f>ROW()-2</f>
      </c>
      <c r="B41" s="9" t="str">
        <v>深圳洲明</v>
      </c>
      <c r="C41" s="9" t="str">
        <v>财经管理中心</v>
      </c>
      <c r="D41" s="31" t="str">
        <v>集团财经运营</v>
      </c>
      <c r="E41" s="25" t="str">
        <v>U0015767</v>
      </c>
      <c r="F41" s="8" t="str">
        <v>张可</v>
      </c>
      <c r="G41" s="88" t="str">
        <v>经营周报-集团
经营周报-销服</v>
      </c>
      <c r="H41" s="9" t="str">
        <v>深圳洲明</v>
      </c>
      <c r="I41" s="9" t="str">
        <v>/</v>
      </c>
      <c r="J41" s="48" t="str">
        <v>All</v>
      </c>
      <c r="K41" s="9" t="str">
        <v>All</v>
      </c>
      <c r="L41" s="9"/>
      <c r="M41" s="9"/>
      <c r="N41" s="9"/>
      <c r="O41" s="9" t="str">
        <v>已开通账号</v>
      </c>
      <c r="P41" s="9">
        <f>E41</f>
      </c>
      <c r="Q41" s="9"/>
      <c r="R41" s="9"/>
    </row>
    <row r="42">
      <c r="A42" s="3">
        <f>ROW()-2</f>
      </c>
      <c r="B42" s="9" t="str">
        <v>深圳洲明-雷迪奥</v>
      </c>
      <c r="C42" s="9"/>
      <c r="D42" s="9" t="str">
        <v>子公司财经运营</v>
      </c>
      <c r="E42" s="25"/>
      <c r="F42" s="9" t="str">
        <v>张玲</v>
      </c>
      <c r="G42" s="48" t="str">
        <v>经营周报-补录</v>
      </c>
      <c r="H42" s="31" t="str">
        <v>雷迪奥</v>
      </c>
      <c r="I42" s="9" t="str">
        <v>/</v>
      </c>
      <c r="J42" s="9" t="str">
        <v>/</v>
      </c>
      <c r="K42" s="9" t="str">
        <v>/</v>
      </c>
      <c r="L42" s="9"/>
      <c r="M42" s="9"/>
      <c r="N42" s="9"/>
      <c r="O42" s="9" t="str">
        <v>待处理</v>
      </c>
      <c r="P42" s="9">
        <f>E42</f>
      </c>
      <c r="Q42" s="9"/>
      <c r="R42" s="9"/>
    </row>
    <row r="43">
      <c r="A43" s="3">
        <f>ROW()-2</f>
      </c>
      <c r="B43" s="9" t="str">
        <v>深圳洲明-爱加</v>
      </c>
      <c r="C43" s="43"/>
      <c r="D43" s="43" t="str">
        <v>子公司财经运营</v>
      </c>
      <c r="E43" s="90"/>
      <c r="F43" s="9" t="str">
        <v>李金荣</v>
      </c>
      <c r="G43" s="89" t="str">
        <v>经营周报-补录</v>
      </c>
      <c r="H43" s="43" t="str">
        <v>爱加</v>
      </c>
      <c r="I43" s="43" t="str">
        <v>/</v>
      </c>
      <c r="J43" s="43" t="str">
        <v>/</v>
      </c>
      <c r="K43" s="43" t="str">
        <v>/</v>
      </c>
      <c r="L43" s="43"/>
      <c r="M43" s="9"/>
      <c r="N43" s="9"/>
      <c r="O43" s="9" t="str">
        <v>待处理</v>
      </c>
      <c r="P43" s="9">
        <f>E43</f>
      </c>
      <c r="Q43" s="9"/>
      <c r="R43" s="9"/>
    </row>
    <row r="44">
      <c r="A44" s="3">
        <f>ROW()-2</f>
      </c>
      <c r="B44" s="25" t="str">
        <v>深圳洲明-柏年</v>
      </c>
      <c r="C44" s="9"/>
      <c r="D44" s="9" t="str">
        <v>子公司财经运营</v>
      </c>
      <c r="E44" s="25"/>
      <c r="F44" s="9" t="str">
        <v>曹敬敬</v>
      </c>
      <c r="G44" s="48" t="str">
        <v>经营周报-补录</v>
      </c>
      <c r="H44" s="9" t="str">
        <v>柏年</v>
      </c>
      <c r="I44" s="9" t="str">
        <v>/</v>
      </c>
      <c r="J44" s="9" t="str">
        <v>/</v>
      </c>
      <c r="K44" s="9" t="str">
        <v>/</v>
      </c>
      <c r="L44" s="9"/>
      <c r="M44" s="48"/>
      <c r="N44" s="9"/>
      <c r="O44" s="9" t="str">
        <v>待处理</v>
      </c>
      <c r="P44" s="9">
        <f>E44</f>
      </c>
      <c r="Q44" s="9"/>
      <c r="R44" s="9"/>
    </row>
    <row r="45">
      <c r="A45" s="3">
        <f>ROW()-2</f>
      </c>
      <c r="B45" s="25" t="str">
        <v>深圳洲明-康利</v>
      </c>
      <c r="C45" s="9"/>
      <c r="D45" s="9" t="str">
        <v>子公司财经运营</v>
      </c>
      <c r="E45" s="25"/>
      <c r="F45" s="9" t="str">
        <v>王臻</v>
      </c>
      <c r="G45" s="48" t="str">
        <v>经营周报-补录</v>
      </c>
      <c r="H45" s="9" t="str">
        <v>康利</v>
      </c>
      <c r="I45" s="9" t="str">
        <v>/</v>
      </c>
      <c r="J45" s="9" t="str">
        <v>/</v>
      </c>
      <c r="K45" s="9" t="str">
        <v>/</v>
      </c>
      <c r="L45" s="9"/>
      <c r="M45" s="48"/>
      <c r="N45" s="9"/>
      <c r="O45" s="9" t="str">
        <v>待处理</v>
      </c>
      <c r="P45" s="9">
        <f>E45</f>
      </c>
      <c r="Q45" s="9"/>
      <c r="R45" s="9"/>
    </row>
    <row r="46">
      <c r="A46" s="3">
        <f>ROW()-2</f>
      </c>
      <c r="B46" s="25" t="str">
        <v>深圳洲明-北斗星</v>
      </c>
      <c r="C46" s="9"/>
      <c r="D46" s="9" t="str">
        <v>子公司财经运营</v>
      </c>
      <c r="E46" s="9"/>
      <c r="F46" s="31" t="str">
        <v>梁浪平</v>
      </c>
      <c r="G46" s="9" t="str">
        <v>经营周报-补录</v>
      </c>
      <c r="H46" s="9" t="str">
        <v>北斗星</v>
      </c>
      <c r="I46" s="9" t="str">
        <v>/</v>
      </c>
      <c r="J46" s="9" t="str">
        <v>/</v>
      </c>
      <c r="K46" s="9" t="str">
        <v>/</v>
      </c>
      <c r="L46" s="9"/>
      <c r="M46" s="48"/>
      <c r="N46" s="9"/>
      <c r="O46" s="9" t="str">
        <v>待处理</v>
      </c>
      <c r="P46" s="9">
        <f>E46</f>
      </c>
      <c r="Q46" s="9"/>
      <c r="R46" s="9"/>
    </row>
    <row r="47">
      <c r="A47" s="3">
        <f>ROW()-2</f>
      </c>
      <c r="B47" s="25" t="str">
        <v>深圳洲明</v>
      </c>
      <c r="C47" s="9" t="str">
        <v>显示产品线/固装产品线</v>
      </c>
      <c r="D47" s="8" t="str">
        <v>产品线总经理</v>
      </c>
      <c r="E47" s="9" t="str">
        <v>U000071</v>
      </c>
      <c r="F47" s="9" t="str">
        <v>雷松</v>
      </c>
      <c r="G47" s="9" t="str">
        <v>经营周报-销服</v>
      </c>
      <c r="H47" s="9" t="str">
        <v>深圳洲明</v>
      </c>
      <c r="I47" s="9" t="str">
        <v>固装</v>
      </c>
      <c r="J47" s="9" t="str">
        <v>/</v>
      </c>
      <c r="K47" s="9" t="str">
        <v>/</v>
      </c>
      <c r="L47" s="9"/>
      <c r="M47" s="48"/>
      <c r="N47" s="9"/>
      <c r="O47" s="9" t="str">
        <v>已开通账号</v>
      </c>
      <c r="P47" s="9">
        <f>E47</f>
      </c>
      <c r="Q47" s="9"/>
      <c r="R47" s="9"/>
    </row>
    <row r="48">
      <c r="A48" s="3">
        <f>ROW()-2</f>
      </c>
      <c r="B48" s="25" t="str">
        <v>深圳洲明</v>
      </c>
      <c r="C48" s="9" t="str">
        <v>显示产品线/分销产品线</v>
      </c>
      <c r="D48" s="8" t="str">
        <v>产品线总经理</v>
      </c>
      <c r="E48" s="9" t="str">
        <v>U0004268</v>
      </c>
      <c r="F48" s="8" t="str">
        <v>田守进</v>
      </c>
      <c r="G48" s="9" t="str">
        <v>经营周报-销服</v>
      </c>
      <c r="H48" s="9" t="str">
        <v>深圳洲明</v>
      </c>
      <c r="I48" s="9" t="str">
        <v>分销</v>
      </c>
      <c r="J48" s="9" t="str">
        <v>/</v>
      </c>
      <c r="K48" s="9" t="str">
        <v>/</v>
      </c>
      <c r="L48" s="9"/>
      <c r="M48" s="48"/>
      <c r="N48" s="9"/>
      <c r="O48" s="9" t="str">
        <v>已开通账号</v>
      </c>
      <c r="P48" s="9">
        <f>E48</f>
      </c>
      <c r="Q48" s="9"/>
      <c r="R48" s="9"/>
    </row>
    <row r="49">
      <c r="A49" s="3">
        <f>ROW()-2</f>
      </c>
      <c r="B49" s="25" t="str">
        <v>深圳洲明</v>
      </c>
      <c r="C49" s="9" t="str">
        <v>显示产品线/产品线运营部</v>
      </c>
      <c r="D49" s="8" t="str">
        <v>运营专业经理-固装</v>
      </c>
      <c r="E49" s="9" t="str">
        <v>U0001785</v>
      </c>
      <c r="F49" s="8" t="str">
        <v>李应兰</v>
      </c>
      <c r="G49" s="9" t="str">
        <v>经营周报-销服</v>
      </c>
      <c r="H49" s="9" t="str">
        <v>深圳洲明</v>
      </c>
      <c r="I49" s="9" t="str">
        <v>固装</v>
      </c>
      <c r="J49" s="9" t="str">
        <v>/</v>
      </c>
      <c r="K49" s="9" t="str">
        <v>/</v>
      </c>
      <c r="L49" s="9"/>
      <c r="M49" s="48"/>
      <c r="N49" s="9"/>
      <c r="O49" s="9" t="str">
        <v>已开通账号</v>
      </c>
      <c r="P49" s="9">
        <f>E49</f>
      </c>
      <c r="Q49" s="9"/>
      <c r="R49" s="9"/>
    </row>
    <row r="50">
      <c r="A50" s="3">
        <f>ROW()-2</f>
      </c>
      <c r="B50" s="25" t="str">
        <v>深圳洲明</v>
      </c>
      <c r="C50" s="9" t="str">
        <v>显示产品线/产品线运营部</v>
      </c>
      <c r="D50" s="8" t="str">
        <v>运营专业经理-分销</v>
      </c>
      <c r="E50" s="9" t="str">
        <v>U0004975</v>
      </c>
      <c r="F50" s="8" t="str">
        <v>邬可丽</v>
      </c>
      <c r="G50" s="9" t="str">
        <v>经营周报-销服</v>
      </c>
      <c r="H50" s="9" t="str">
        <v>深圳洲明</v>
      </c>
      <c r="I50" s="9" t="str">
        <v>分销</v>
      </c>
      <c r="J50" s="9" t="str">
        <v>/</v>
      </c>
      <c r="K50" s="9" t="str">
        <v>/</v>
      </c>
      <c r="L50" s="9"/>
      <c r="M50" s="48"/>
      <c r="N50" s="9"/>
      <c r="O50" s="9" t="str">
        <v>已开通账号</v>
      </c>
      <c r="P50" s="9">
        <f>E50</f>
      </c>
      <c r="Q50" s="9"/>
      <c r="R50" s="9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</sheetData>
  <mergeCells>
    <mergeCell ref="A1:A2"/>
    <mergeCell ref="G1:G2"/>
    <mergeCell ref="F1:F2"/>
    <mergeCell ref="E1:E2"/>
    <mergeCell ref="D1:D2"/>
    <mergeCell ref="C1:C2"/>
    <mergeCell ref="B1:B2"/>
    <mergeCell ref="O1:R1"/>
    <mergeCell ref="H1:N1"/>
  </mergeCells>
  <dataValidations count="1">
    <dataValidation allowBlank="true" errorStyle="stop" showErrorMessage="true" sqref="O3:O50" type="list">
      <formula1>"待处理,已有账号,已开通账号,已完成授权,待定,取消"</formula1>
    </dataValidation>
  </dataValidation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9"/>
    <col collapsed="false" customWidth="true" hidden="false" max="3" min="3" style="0" width="12"/>
    <col collapsed="false" customWidth="true" hidden="false" max="4" min="4" style="0" width="25"/>
    <col collapsed="false" customWidth="true" hidden="false" max="5" min="5" style="0" width="31"/>
    <col collapsed="false" customWidth="true" hidden="false" max="6" min="6" style="0" width="8"/>
    <col collapsed="false" customWidth="true" hidden="false" max="7" min="7" style="0" width="57"/>
    <col collapsed="false" customWidth="true" hidden="false" max="8" min="8" style="0" width="4"/>
    <col collapsed="false" customWidth="true" hidden="false" max="9" min="9" style="0" width="4"/>
    <col collapsed="false" customWidth="true" hidden="false" max="10" min="10" style="0" width="12"/>
    <col collapsed="false" customWidth="true" hidden="false" max="11" min="11" style="0" width="10"/>
    <col collapsed="false" customWidth="true" hidden="false" max="12" min="12" style="0" width="14"/>
    <col collapsed="false" customWidth="true" hidden="false" max="13" min="13" style="0" width="10"/>
    <col collapsed="false" customWidth="true" hidden="false" max="14" min="14" style="0" width="13"/>
    <col collapsed="false" customWidth="true" hidden="false" max="15" min="15" style="0" width="10"/>
  </cols>
  <sheetData>
    <row r="1">
      <c r="A1" s="27" t="str">
        <v>序号</v>
      </c>
      <c r="B1" s="27" t="str">
        <v>业务模块</v>
      </c>
      <c r="C1" s="27" t="str">
        <v>业务子模块</v>
      </c>
      <c r="D1" s="27" t="str">
        <v>展示表单名称</v>
      </c>
      <c r="E1" s="27" t="str">
        <v>表单地址</v>
      </c>
      <c r="F1" s="27" t="str">
        <v>表单类型</v>
      </c>
      <c r="G1" s="27" t="str">
        <v>报表说明</v>
      </c>
      <c r="H1" s="113" t="str">
        <v>各层级权限</v>
      </c>
      <c r="I1" s="113"/>
      <c r="J1" s="113"/>
      <c r="K1" s="113"/>
      <c r="L1" s="113"/>
      <c r="M1" s="113"/>
      <c r="N1" s="113"/>
      <c r="O1" s="113"/>
    </row>
    <row r="2">
      <c r="A2" s="27"/>
      <c r="B2" s="27"/>
      <c r="C2" s="27"/>
      <c r="D2" s="27"/>
      <c r="E2" s="27"/>
      <c r="F2" s="27"/>
      <c r="G2" s="27"/>
      <c r="H2" s="115" t="str">
        <v>决策层</v>
      </c>
      <c r="I2" s="115"/>
      <c r="J2" s="114" t="str">
        <v>管理层</v>
      </c>
      <c r="K2" s="114"/>
      <c r="L2" s="114" t="str">
        <v>经营层</v>
      </c>
      <c r="M2" s="114"/>
      <c r="N2" s="114" t="str">
        <v>执行层</v>
      </c>
      <c r="O2" s="114"/>
    </row>
    <row r="3">
      <c r="A3" s="3">
        <f>ROW()-2</f>
      </c>
      <c r="B3" s="9" t="str">
        <v>基准价</v>
      </c>
      <c r="C3" s="9" t="str">
        <v>基准价测算</v>
      </c>
      <c r="D3" s="12" t="str">
        <v>损耗率填报表</v>
      </c>
      <c r="E3" s="9" t="s">
        <v>32</v>
      </c>
      <c r="F3" s="103" t="str">
        <v>填报表</v>
      </c>
      <c r="G3" s="103" t="str">
        <v>成本工程师按产品维护损耗率、委外成本</v>
      </c>
      <c r="H3" s="105"/>
      <c r="I3" s="9"/>
      <c r="J3" s="112"/>
      <c r="K3" s="9"/>
      <c r="L3" s="106"/>
      <c r="M3" s="9"/>
      <c r="N3" s="106" t="str">
        <v>成本工程师</v>
      </c>
      <c r="O3" s="9" t="str">
        <v>可录入</v>
      </c>
    </row>
    <row r="4">
      <c r="A4" s="3">
        <f>ROW()-2</f>
      </c>
      <c r="B4" s="9" t="str">
        <v>基准价</v>
      </c>
      <c r="C4" s="9" t="str">
        <v>基准价测算</v>
      </c>
      <c r="D4" s="12" t="str">
        <v>制费率基线值填报表</v>
      </c>
      <c r="E4" s="9" t="s">
        <v>33</v>
      </c>
      <c r="F4" s="103" t="str">
        <v>填报表</v>
      </c>
      <c r="G4" s="103" t="str">
        <v>财务按产品系列维护制费率基线</v>
      </c>
      <c r="H4" s="105"/>
      <c r="I4" s="9"/>
      <c r="J4" s="112"/>
      <c r="K4" s="9"/>
      <c r="L4" s="106"/>
      <c r="M4" s="9"/>
      <c r="N4" s="106" t="str">
        <v>财务</v>
      </c>
      <c r="O4" s="9" t="str">
        <v>可录入</v>
      </c>
    </row>
    <row r="5">
      <c r="A5" s="3">
        <f>ROW()-2</f>
      </c>
      <c r="B5" s="9" t="str">
        <v>基准价</v>
      </c>
      <c r="C5" s="9" t="str">
        <v>基准价测算</v>
      </c>
      <c r="D5" s="12" t="str">
        <v>制费率填报表</v>
      </c>
      <c r="E5" s="9" t="s">
        <v>34</v>
      </c>
      <c r="F5" s="103" t="str">
        <v>填报表</v>
      </c>
      <c r="G5" s="103" t="str">
        <v>成本工程师根据财务提供参考值维护制费率（除分销产品线的模组）</v>
      </c>
      <c r="H5" s="105"/>
      <c r="I5" s="9"/>
      <c r="J5" s="112"/>
      <c r="K5" s="9"/>
      <c r="L5" s="106"/>
      <c r="M5" s="9"/>
      <c r="N5" s="106" t="str">
        <v>成本工程师</v>
      </c>
      <c r="O5" s="9" t="str">
        <v>可录入</v>
      </c>
    </row>
    <row customHeight="true" ht="20" r="6">
      <c r="A6" s="3">
        <f>ROW()-2</f>
      </c>
      <c r="B6" s="9" t="str">
        <v>基准价</v>
      </c>
      <c r="C6" s="9" t="str">
        <v>基准价测算</v>
      </c>
      <c r="D6" s="12" t="str">
        <v>分摊费用比例填报表</v>
      </c>
      <c r="E6" s="9" t="s">
        <v>35</v>
      </c>
      <c r="F6" s="103" t="str">
        <v>填报表</v>
      </c>
      <c r="G6" s="103" t="str">
        <v>FIBP按产品族维护分摊费用比例，基准价根据该比例测算</v>
      </c>
      <c r="H6" s="105"/>
      <c r="I6" s="9"/>
      <c r="J6" s="112"/>
      <c r="K6" s="9"/>
      <c r="L6" s="106"/>
      <c r="M6" s="9"/>
      <c r="N6" s="106" t="str">
        <v>FIBP</v>
      </c>
      <c r="O6" s="9" t="str">
        <v>可录入</v>
      </c>
    </row>
    <row r="7">
      <c r="A7" s="3">
        <f>ROW()-2</f>
      </c>
      <c r="B7" s="9" t="str">
        <v>基准价</v>
      </c>
      <c r="C7" s="9" t="str">
        <v>基准价测算</v>
      </c>
      <c r="D7" s="12" t="str">
        <v>工厂供货比例填报表</v>
      </c>
      <c r="E7" s="9" t="s">
        <v>36</v>
      </c>
      <c r="F7" s="103" t="str">
        <v>填报表</v>
      </c>
      <c r="G7" s="103" t="str">
        <v>计划工程师每月定期维护次月供货比例</v>
      </c>
      <c r="H7" s="105"/>
      <c r="I7" s="9"/>
      <c r="J7" s="112"/>
      <c r="K7" s="9"/>
      <c r="L7" s="106"/>
      <c r="M7" s="9"/>
      <c r="N7" s="106" t="str">
        <v>计划工程师</v>
      </c>
      <c r="O7" s="9" t="str">
        <v>可录入</v>
      </c>
    </row>
    <row r="8">
      <c r="A8" s="3">
        <f>ROW()-2</f>
      </c>
      <c r="B8" s="9" t="str">
        <v>基准价</v>
      </c>
      <c r="C8" s="9" t="str">
        <v>基准价测算</v>
      </c>
      <c r="D8" s="12" t="str">
        <v>基准价调整值填报表</v>
      </c>
      <c r="E8" s="9" t="s">
        <v>37</v>
      </c>
      <c r="F8" s="103" t="str">
        <v>填报表</v>
      </c>
      <c r="G8" s="103" t="str">
        <v>成本工程师根据测算出的基准价，填写调整值</v>
      </c>
      <c r="H8" s="105"/>
      <c r="I8" s="9"/>
      <c r="J8" s="112"/>
      <c r="K8" s="9"/>
      <c r="L8" s="106"/>
      <c r="M8" s="9"/>
      <c r="N8" s="106" t="str">
        <v>成本工程师</v>
      </c>
      <c r="O8" s="9" t="str">
        <v>可录入</v>
      </c>
    </row>
    <row r="9">
      <c r="A9" s="3">
        <f>ROW()-2</f>
      </c>
      <c r="B9" s="9" t="str">
        <v>基准价</v>
      </c>
      <c r="C9" s="9" t="str">
        <v>基准价测算</v>
      </c>
      <c r="D9" s="12" t="str">
        <v>产品最高测算成本展示表</v>
      </c>
      <c r="E9" s="9" t="s">
        <v>23</v>
      </c>
      <c r="F9" s="103" t="str">
        <v>展示表</v>
      </c>
      <c r="G9" s="103" t="str">
        <v>展示测算出的不同产品的五个价格对应的最高测算成本</v>
      </c>
      <c r="H9" s="105"/>
      <c r="I9" s="9"/>
      <c r="J9" s="112"/>
      <c r="K9" s="9"/>
      <c r="L9" s="106"/>
      <c r="M9" s="9"/>
      <c r="N9" s="106" t="str">
        <v>成本工程师</v>
      </c>
      <c r="O9" s="9" t="str">
        <v>仅查看</v>
      </c>
    </row>
    <row r="10">
      <c r="A10" s="3">
        <f>ROW()-2</f>
      </c>
      <c r="B10" s="9" t="str">
        <v>基准价</v>
      </c>
      <c r="C10" s="9" t="str">
        <v>基准价测算</v>
      </c>
      <c r="D10" s="12" t="str">
        <v>产品测算成本展示表</v>
      </c>
      <c r="E10" s="9" t="s">
        <v>24</v>
      </c>
      <c r="F10" s="103" t="str">
        <v>展示表</v>
      </c>
      <c r="G10" s="103" t="str">
        <v>由产品最高测算成本展示表跳转，展示单个产品五个价格测算出的所有成本</v>
      </c>
      <c r="H10" s="105"/>
      <c r="I10" s="9"/>
      <c r="J10" s="112"/>
      <c r="K10" s="9"/>
      <c r="L10" s="106"/>
      <c r="M10" s="9"/>
      <c r="N10" s="106" t="str">
        <v>成本工程师</v>
      </c>
      <c r="O10" s="9" t="str">
        <v>仅查看</v>
      </c>
    </row>
    <row r="11">
      <c r="A11" s="3">
        <f>ROW()-2</f>
      </c>
      <c r="B11" s="9" t="str">
        <v>基准价</v>
      </c>
      <c r="C11" s="9" t="str">
        <v>基准价测算</v>
      </c>
      <c r="D11" s="12" t="str">
        <v>产品测算成本明细表-单层</v>
      </c>
      <c r="E11" s="9" t="s">
        <v>25</v>
      </c>
      <c r="F11" s="103" t="str">
        <v>展示表</v>
      </c>
      <c r="G11" s="103" t="str">
        <v>由产品测算成本展示表跳转，展示所选产品的成品+底层物料成本及委外成本</v>
      </c>
      <c r="H11" s="105"/>
      <c r="I11" s="9"/>
      <c r="J11" s="112"/>
      <c r="K11" s="9"/>
      <c r="L11" s="106"/>
      <c r="M11" s="9"/>
      <c r="N11" s="106" t="str">
        <v>成本工程师</v>
      </c>
      <c r="O11" s="9" t="str">
        <v>仅查看</v>
      </c>
    </row>
    <row customHeight="true" ht="20" r="12">
      <c r="A12" s="3">
        <f>ROW()-2</f>
      </c>
      <c r="B12" s="9" t="str">
        <v>基准价</v>
      </c>
      <c r="C12" s="9" t="str">
        <v>基准价测算</v>
      </c>
      <c r="D12" s="12" t="str">
        <v>分销模组-制费填报表</v>
      </c>
      <c r="E12" s="9" t="s">
        <v>26</v>
      </c>
      <c r="F12" s="103" t="str">
        <v>填报表</v>
      </c>
      <c r="G12" s="103" t="str">
        <v>成本工程师维护制费（分销产品线的模组）</v>
      </c>
      <c r="H12" s="105"/>
      <c r="I12" s="9"/>
      <c r="J12" s="112"/>
      <c r="K12" s="9"/>
      <c r="L12" s="106"/>
      <c r="M12" s="9"/>
      <c r="N12" s="106" t="str">
        <v>成本工程师</v>
      </c>
      <c r="O12" s="9" t="str">
        <v>可录入</v>
      </c>
    </row>
    <row customHeight="true" ht="20" r="13">
      <c r="A13" s="3">
        <f>ROW()-2</f>
      </c>
      <c r="B13" s="9" t="str">
        <v>基准价</v>
      </c>
      <c r="C13" s="9" t="str">
        <v>报价测算</v>
      </c>
      <c r="D13" s="12" t="str">
        <v>工程服务价格填报表</v>
      </c>
      <c r="E13" s="9" t="s">
        <v>27</v>
      </c>
      <c r="F13" s="103" t="str">
        <v>填报表</v>
      </c>
      <c r="G13" s="103" t="str">
        <v>GTS工程师维护工程服务价格基数与偏差上浮率</v>
      </c>
      <c r="H13" s="105"/>
      <c r="I13" s="9"/>
      <c r="J13" s="112"/>
      <c r="K13" s="9"/>
      <c r="L13" s="106"/>
      <c r="M13" s="9"/>
      <c r="N13" s="106" t="str">
        <v>GTS工程师</v>
      </c>
      <c r="O13" s="9" t="str">
        <v>可录入</v>
      </c>
    </row>
    <row r="14">
      <c r="A14" s="3">
        <f>ROW()-2</f>
      </c>
      <c r="B14" s="9" t="str">
        <v>基准价</v>
      </c>
      <c r="C14" s="9" t="str">
        <v>报价测算</v>
      </c>
      <c r="D14" s="12" t="str">
        <v>价格系数与额外质保比例填报表</v>
      </c>
      <c r="E14" s="9" t="s">
        <v>28</v>
      </c>
      <c r="F14" s="103" t="str">
        <v>填报表</v>
      </c>
      <c r="G14" s="103" t="str">
        <v>根据测算出的产品基准价，商设按产品颗粒度维护各大区市场价、毛利系数</v>
      </c>
      <c r="H14" s="105"/>
      <c r="I14" s="9"/>
      <c r="J14" s="112"/>
      <c r="K14" s="9"/>
      <c r="L14" s="106"/>
      <c r="M14" s="9"/>
      <c r="N14" s="106" t="str">
        <v>商设工程师</v>
      </c>
      <c r="O14" s="9" t="str">
        <v>可录入</v>
      </c>
    </row>
    <row r="15">
      <c r="A15" s="3">
        <f>ROW()-2</f>
      </c>
      <c r="B15" s="9" t="str">
        <v>基准价</v>
      </c>
      <c r="C15" s="9" t="str">
        <v>报价测算</v>
      </c>
      <c r="D15" s="12" t="str">
        <v>Sparts市场价与系数填报表</v>
      </c>
      <c r="E15" s="9" t="s">
        <v>29</v>
      </c>
      <c r="F15" s="103" t="str">
        <v>填报表</v>
      </c>
      <c r="G15" s="103" t="str">
        <v>根据带出的Spart物料价格，商设工程师按Spart编码颗粒度维护各大区Spart市场价、毛利系数</v>
      </c>
      <c r="H15" s="105"/>
      <c r="I15" s="9"/>
      <c r="J15" s="112"/>
      <c r="K15" s="9"/>
      <c r="L15" s="106"/>
      <c r="M15" s="9"/>
      <c r="N15" s="106" t="str">
        <v>商设工程师</v>
      </c>
      <c r="O15" s="9" t="str">
        <v>可录入</v>
      </c>
    </row>
    <row customHeight="true" ht="20" r="16">
      <c r="A16" s="3">
        <f>ROW()-2</f>
      </c>
      <c r="B16" s="9" t="str">
        <v>HR主数据</v>
      </c>
      <c r="C16" s="9" t="str">
        <v>组织</v>
      </c>
      <c r="D16" s="12" t="str">
        <v>组织主数据查询</v>
      </c>
      <c r="E16" s="9" t="s">
        <v>16</v>
      </c>
      <c r="F16" s="104" t="str">
        <v>展示表</v>
      </c>
      <c r="G16" s="103" t="str">
        <v>组织主数据查询展示，供下游系统使用</v>
      </c>
      <c r="H16" s="105"/>
      <c r="I16" s="9"/>
      <c r="J16" s="112"/>
      <c r="K16" s="9"/>
      <c r="L16" s="106"/>
      <c r="M16" s="9"/>
      <c r="N16" s="106" t="str">
        <v>HR数据管家</v>
      </c>
      <c r="O16" s="9" t="str">
        <v>仅查看</v>
      </c>
    </row>
    <row customHeight="true" ht="20" r="17">
      <c r="A17" s="3">
        <f>ROW()-2</f>
      </c>
      <c r="B17" s="9" t="str">
        <v>HR主数据</v>
      </c>
      <c r="C17" s="9" t="str">
        <v>岗位</v>
      </c>
      <c r="D17" s="12" t="str">
        <v>岗位数据查询</v>
      </c>
      <c r="E17" s="9" t="s">
        <v>16</v>
      </c>
      <c r="F17" s="104" t="str">
        <v>展示表</v>
      </c>
      <c r="G17" s="103" t="str">
        <v>岗位主数据查询展示，供下游系统使用</v>
      </c>
      <c r="H17" s="105"/>
      <c r="I17" s="9"/>
      <c r="J17" s="112"/>
      <c r="K17" s="9"/>
      <c r="L17" s="106"/>
      <c r="M17" s="9"/>
      <c r="N17" s="106" t="str">
        <v>HR数据管家</v>
      </c>
      <c r="O17" s="9" t="str">
        <v>仅查看</v>
      </c>
    </row>
    <row customHeight="true" ht="20" r="18">
      <c r="A18" s="3">
        <f>ROW()-2</f>
      </c>
      <c r="B18" s="9" t="str">
        <v>HR主数据</v>
      </c>
      <c r="C18" s="9" t="str">
        <v>人员</v>
      </c>
      <c r="D18" s="12" t="str">
        <v>人员数据查询</v>
      </c>
      <c r="E18" s="9" t="s">
        <v>16</v>
      </c>
      <c r="F18" s="104" t="str">
        <v>展示表</v>
      </c>
      <c r="G18" s="103" t="str">
        <v>人员主数据查询展示，供下游系统使用</v>
      </c>
      <c r="H18" s="105"/>
      <c r="I18" s="9"/>
      <c r="J18" s="112"/>
      <c r="K18" s="9"/>
      <c r="L18" s="106"/>
      <c r="M18" s="9"/>
      <c r="N18" s="106" t="str">
        <v>HR数据管家</v>
      </c>
      <c r="O18" s="9" t="str">
        <v>仅查看</v>
      </c>
    </row>
    <row r="19">
      <c r="A19" s="3">
        <f>ROW()-2</f>
      </c>
      <c r="B19" s="9" t="str">
        <v>HR主数据</v>
      </c>
      <c r="C19" s="9" t="str">
        <v>系统账号</v>
      </c>
      <c r="D19" s="12" t="str">
        <v>系统账号表</v>
      </c>
      <c r="E19" s="9" t="s">
        <v>17</v>
      </c>
      <c r="F19" s="103" t="str">
        <v>填报表</v>
      </c>
      <c r="G19" s="103" t="str">
        <v>系统账号用户表查询展示，供下游系统使用</v>
      </c>
      <c r="H19" s="105"/>
      <c r="I19" s="9"/>
      <c r="J19" s="112"/>
      <c r="K19" s="9"/>
      <c r="L19" s="106"/>
      <c r="M19" s="9"/>
      <c r="N19" s="106" t="str">
        <v>各系统管理员</v>
      </c>
      <c r="O19" s="9" t="str">
        <v>可录入</v>
      </c>
    </row>
    <row r="20">
      <c r="A20" s="3">
        <f>ROW()-2</f>
      </c>
      <c r="B20" s="9" t="str">
        <v>指标分析</v>
      </c>
      <c r="C20" s="9" t="str">
        <v>业绩目标-填报</v>
      </c>
      <c r="D20" s="104" t="str">
        <v>年度业绩目标录入表</v>
      </c>
      <c r="E20" s="104" t="s">
        <v>18</v>
      </c>
      <c r="F20" s="103" t="str">
        <v>填报表</v>
      </c>
      <c r="G20" s="103" t="str">
        <v>年初填写年度KPI目标；系统按确定比例自动拆解到半年度-季度-月度，按比例拆解后允许填写调整值微调</v>
      </c>
      <c r="H20" s="105" t="str">
        <v>/</v>
      </c>
      <c r="I20" s="9"/>
      <c r="J20" s="112" t="str">
        <v>省总/国总</v>
      </c>
      <c r="K20" s="9" t="str">
        <v>可录入</v>
      </c>
      <c r="L20" s="106" t="str">
        <v>各级销服运营</v>
      </c>
      <c r="M20" s="9" t="str">
        <v>仅查看</v>
      </c>
      <c r="N20" s="106" t="str">
        <v>业务员</v>
      </c>
      <c r="O20" s="9" t="str">
        <v>仅查看</v>
      </c>
    </row>
    <row r="21">
      <c r="A21" s="3">
        <f>ROW()-2</f>
      </c>
      <c r="B21" s="9" t="str">
        <v>指标分析</v>
      </c>
      <c r="C21" s="9" t="str">
        <v>业绩目标-填报</v>
      </c>
      <c r="D21" s="104" t="str">
        <v>年度业绩目标滚动计算表</v>
      </c>
      <c r="E21" s="111" t="s">
        <v>19</v>
      </c>
      <c r="F21" s="103" t="str">
        <v>填报表</v>
      </c>
      <c r="G21" s="103" t="str">
        <v>每月根据《年度业绩目标录入表》调整后月度目标与实际发生数计算缺口，缺口自动滚动至下一周期(下半年/下个季度/下个月）</v>
      </c>
      <c r="H21" s="105" t="str">
        <v>/</v>
      </c>
      <c r="I21" s="9"/>
      <c r="J21" s="106" t="str">
        <v>/</v>
      </c>
      <c r="K21" s="9"/>
      <c r="L21" s="106" t="str">
        <v>各级销服运营</v>
      </c>
      <c r="M21" s="9" t="str">
        <v>仅查看</v>
      </c>
      <c r="N21" s="106" t="str">
        <v>业务员</v>
      </c>
      <c r="O21" s="9" t="str">
        <v>仅查看</v>
      </c>
    </row>
    <row r="22">
      <c r="A22" s="3">
        <f>ROW()-2</f>
      </c>
      <c r="B22" s="9" t="str">
        <v>指标分析</v>
      </c>
      <c r="C22" s="9" t="str">
        <v>业绩目标-填报</v>
      </c>
      <c r="D22" s="104" t="str">
        <v>月度业绩保底目标录入表</v>
      </c>
      <c r="E22" s="104" t="s">
        <v>20</v>
      </c>
      <c r="F22" s="103" t="str">
        <v>填报表</v>
      </c>
      <c r="G22" s="103" t="str">
        <v>按月录入保底目标</v>
      </c>
      <c r="H22" s="105" t="str">
        <v>/</v>
      </c>
      <c r="I22" s="9"/>
      <c r="J22" s="106" t="str">
        <v>/</v>
      </c>
      <c r="K22" s="9"/>
      <c r="L22" s="106" t="str">
        <v>销服运营</v>
      </c>
      <c r="M22" s="9" t="str">
        <v>仅查看</v>
      </c>
      <c r="N22" s="106" t="str">
        <v>业务员</v>
      </c>
      <c r="O22" s="9" t="str">
        <v>仅查看</v>
      </c>
    </row>
    <row r="23">
      <c r="A23" s="3">
        <f>ROW()-2</f>
      </c>
      <c r="B23" s="9" t="str">
        <v>指标分析</v>
      </c>
      <c r="C23" s="9" t="str">
        <v>业绩预估-填报</v>
      </c>
      <c r="D23" s="104" t="str">
        <v>周计划录入表</v>
      </c>
      <c r="E23" s="104" t="s">
        <v>21</v>
      </c>
      <c r="F23" s="103" t="str">
        <v>填报表</v>
      </c>
      <c r="G23" s="103" t="str">
        <v>每周按国内/国际&amp;业务产品线填写下周计划、月度计划数据（国内按六个业务产品线录入，不区分大区、省份</v>
      </c>
      <c r="H23" s="105" t="str">
        <v>/</v>
      </c>
      <c r="I23" s="9"/>
      <c r="J23" s="106" t="str">
        <v>/</v>
      </c>
      <c r="K23" s="9"/>
      <c r="L23" s="106" t="str">
        <v>销服运营</v>
      </c>
      <c r="M23" s="9" t="str">
        <v>可录入</v>
      </c>
      <c r="N23" s="106" t="str">
        <v>/</v>
      </c>
      <c r="O23" s="9"/>
    </row>
    <row r="24">
      <c r="A24" s="3">
        <f>ROW()-2</f>
      </c>
      <c r="B24" s="9" t="str">
        <v>指标分析</v>
      </c>
      <c r="C24" s="9" t="str">
        <v>经营周报-补录</v>
      </c>
      <c r="D24" s="104" t="str">
        <v>手工业绩补录表</v>
      </c>
      <c r="E24" s="104" t="s">
        <v>22</v>
      </c>
      <c r="F24" s="103" t="str">
        <v>填报表</v>
      </c>
      <c r="G24" s="103" t="str">
        <v>手工补录业绩：海外子公司直接和客户签单，无母子合同/订单；全融合外的子公司拆分业绩到销服；照明业绩；
作为实际数的一部分纳入整体统计</v>
      </c>
      <c r="H24" s="105" t="str">
        <v>/</v>
      </c>
      <c r="I24" s="9"/>
      <c r="J24" s="106" t="str">
        <v>/</v>
      </c>
      <c r="K24" s="9"/>
      <c r="L24" s="106" t="str">
        <v>销服运营</v>
      </c>
      <c r="M24" s="9" t="str">
        <v>可录入</v>
      </c>
      <c r="N24" s="106" t="str">
        <v>/</v>
      </c>
      <c r="O24" s="9"/>
    </row>
    <row r="25">
      <c r="A25" s="3">
        <f>ROW()-2</f>
      </c>
      <c r="B25" s="9" t="str">
        <v>指标分析</v>
      </c>
      <c r="C25" s="9" t="str">
        <v>业绩预估-填报</v>
      </c>
      <c r="D25" s="104" t="str">
        <v>季度收入预估录入表</v>
      </c>
      <c r="E25" s="104" t="s">
        <v>8</v>
      </c>
      <c r="F25" s="103" t="str">
        <v>填报表</v>
      </c>
      <c r="G25" s="103" t="str">
        <v>每月在四大产品线的基础上按照国内/国际填写季度预估收入数据（销服FIBP→集团财经）</v>
      </c>
      <c r="H25" s="105" t="str">
        <v>/</v>
      </c>
      <c r="I25" s="9"/>
      <c r="J25" s="106" t="str">
        <v>/</v>
      </c>
      <c r="K25" s="9"/>
      <c r="L25" s="106" t="str">
        <v>/</v>
      </c>
      <c r="M25" s="9"/>
      <c r="N25" s="106" t="str">
        <v>销服FIBP</v>
      </c>
      <c r="O25" s="9" t="str">
        <v>可录入</v>
      </c>
    </row>
    <row r="26">
      <c r="A26" s="3">
        <f>ROW()-2</f>
      </c>
      <c r="B26" s="9" t="str">
        <v>指标分析</v>
      </c>
      <c r="C26" s="9" t="str">
        <v>经营周报-补录</v>
      </c>
      <c r="D26" s="104" t="str">
        <v>子公司目标数据录入表</v>
      </c>
      <c r="E26" t="s">
        <v>9</v>
      </c>
      <c r="F26" s="103" t="str">
        <v>填报表</v>
      </c>
      <c r="G26" s="103" t="str">
        <v>全融合以外子公司（比如：雷迪奥）补录业绩目标
用于《集团周报》数据展示</v>
      </c>
      <c r="H26" s="105" t="str">
        <v>/</v>
      </c>
      <c r="I26" s="9"/>
      <c r="J26" s="107" t="str">
        <v>/</v>
      </c>
      <c r="K26" s="9"/>
      <c r="L26" s="106" t="str">
        <v>子公司财经运营</v>
      </c>
      <c r="M26" s="9" t="str">
        <v>可录入</v>
      </c>
      <c r="N26" s="106" t="str">
        <v>/</v>
      </c>
      <c r="O26" s="9"/>
    </row>
    <row r="27">
      <c r="A27" s="3">
        <f>ROW()-2</f>
      </c>
      <c r="B27" s="9" t="str">
        <v>指标分析</v>
      </c>
      <c r="C27" s="9" t="str">
        <v>经营周报-补录</v>
      </c>
      <c r="D27" s="104" t="str">
        <v>子公司实际数据补录表</v>
      </c>
      <c r="E27" s="104" t="s">
        <v>10</v>
      </c>
      <c r="F27" s="103" t="str">
        <v>填报表</v>
      </c>
      <c r="G27" s="103" t="str">
        <v>全融合以外子公司（比如：雷迪奥）补录实际业绩
用于《集团周报》数据展示</v>
      </c>
      <c r="H27" s="105" t="str">
        <v>/</v>
      </c>
      <c r="I27" s="9"/>
      <c r="J27" s="107" t="str">
        <v>/</v>
      </c>
      <c r="K27" s="9"/>
      <c r="L27" s="106" t="str">
        <v>子公司财经运营</v>
      </c>
      <c r="M27" s="9" t="str">
        <v>可录入</v>
      </c>
      <c r="N27" s="106" t="str">
        <v>/</v>
      </c>
      <c r="O27" s="9"/>
    </row>
    <row r="28">
      <c r="A28" s="3">
        <f>ROW()-2</f>
      </c>
      <c r="B28" s="9" t="str">
        <v>指标分析</v>
      </c>
      <c r="C28" s="9" t="str">
        <v>经营周报-集团</v>
      </c>
      <c r="D28" s="104" t="str">
        <v>集团周报</v>
      </c>
      <c r="E28" s="104" t="s">
        <v>11</v>
      </c>
      <c r="F28" s="104" t="str">
        <v>展示表</v>
      </c>
      <c r="G28" s="104" t="str">
        <v>洲明集团整体数据</v>
      </c>
      <c r="H28" s="105" t="str">
        <v>/</v>
      </c>
      <c r="I28" s="9"/>
      <c r="J28" s="109" t="str">
        <v>集团财经</v>
      </c>
      <c r="K28" s="9" t="str">
        <v>仅查看</v>
      </c>
      <c r="L28" s="108" t="str">
        <v>财经运营</v>
      </c>
      <c r="M28" s="9"/>
      <c r="N28" s="103" t="str">
        <v>/</v>
      </c>
      <c r="O28" s="9"/>
    </row>
    <row r="29">
      <c r="A29" s="3">
        <f>ROW()-2</f>
      </c>
      <c r="B29" s="9" t="str">
        <v>指标分析</v>
      </c>
      <c r="C29" s="9" t="str">
        <v>经营周报-销服</v>
      </c>
      <c r="D29" s="104" t="str">
        <v>销服运营周报-整体</v>
      </c>
      <c r="E29" s="104" t="s">
        <v>12</v>
      </c>
      <c r="F29" s="104" t="str">
        <v>展示表</v>
      </c>
      <c r="G29" s="104" t="str">
        <v>全融合整体数据</v>
      </c>
      <c r="H29" s="105" t="str">
        <v>/</v>
      </c>
      <c r="I29" s="9"/>
      <c r="J29" s="110" t="str">
        <v>集团财经
销服运营领导</v>
      </c>
      <c r="K29" s="9" t="str">
        <v>仅查看</v>
      </c>
      <c r="L29" s="108" t="str">
        <v>销服运营</v>
      </c>
      <c r="M29" s="9"/>
      <c r="N29" s="103" t="str">
        <v>/</v>
      </c>
      <c r="O29" s="9"/>
      <c r="P29" s="111"/>
    </row>
    <row r="30">
      <c r="A30" s="3">
        <f>ROW()-2</f>
      </c>
      <c r="B30" s="9" t="str">
        <v>指标分析</v>
      </c>
      <c r="C30" s="9" t="str">
        <v>经营周报-销服</v>
      </c>
      <c r="D30" s="104" t="str">
        <v>销服运营周报-整体-产品线</v>
      </c>
      <c r="E30" s="104" t="s">
        <v>13</v>
      </c>
      <c r="F30" s="104" t="str">
        <v>展示表</v>
      </c>
      <c r="G30" s="104" t="str">
        <v>支持按区域下钻查看各产品线数据</v>
      </c>
      <c r="H30" s="105" t="str">
        <v>/</v>
      </c>
      <c r="I30" s="9"/>
      <c r="J30" s="110" t="str">
        <v>集团财经
销服运营领导</v>
      </c>
      <c r="K30" s="9" t="str">
        <v>仅查看</v>
      </c>
      <c r="L30" s="108" t="str">
        <v>销服运营</v>
      </c>
      <c r="M30" s="9"/>
      <c r="N30" s="103" t="str">
        <v>/</v>
      </c>
      <c r="O30" s="9"/>
    </row>
    <row r="31">
      <c r="A31" s="3">
        <f>ROW()-2</f>
      </c>
      <c r="B31" s="9" t="str">
        <v>指标分析</v>
      </c>
      <c r="C31" s="9" t="str">
        <v>经营周报-销服</v>
      </c>
      <c r="D31" s="104" t="str">
        <v>销服运营周报-大区</v>
      </c>
      <c r="E31" s="104" t="s">
        <v>14</v>
      </c>
      <c r="F31" s="104" t="str">
        <v>展示表</v>
      </c>
      <c r="G31" s="104" t="str">
        <v>国内-4大区/国际-8大区</v>
      </c>
      <c r="H31" s="105" t="str">
        <v>/</v>
      </c>
      <c r="I31" s="9"/>
      <c r="J31" s="110" t="str">
        <v>集团财经
销服运营领导
区总</v>
      </c>
      <c r="K31" s="9" t="str">
        <v>仅查看</v>
      </c>
      <c r="L31" s="108" t="str">
        <v>区域运营</v>
      </c>
      <c r="M31" s="9"/>
      <c r="N31" s="103" t="str">
        <v>/</v>
      </c>
      <c r="O31" s="9"/>
    </row>
    <row r="32">
      <c r="A32" s="3">
        <f>ROW()-2</f>
      </c>
      <c r="B32" s="9" t="str">
        <v>指标分析</v>
      </c>
      <c r="C32" s="9" t="str">
        <v>经营周报-销服</v>
      </c>
      <c r="D32" s="104" t="str">
        <v>销服运营周报-大区-产品线</v>
      </c>
      <c r="E32" s="104" t="s">
        <v>15</v>
      </c>
      <c r="F32" s="104" t="str">
        <v>展示表</v>
      </c>
      <c r="G32" s="104" t="str">
        <v>支持按区域下钻查看各产品线数据</v>
      </c>
      <c r="H32" s="105" t="str">
        <v>/</v>
      </c>
      <c r="I32" s="9"/>
      <c r="J32" s="110" t="str">
        <v>集团财经
销服运营领导
区总</v>
      </c>
      <c r="K32" s="9" t="str">
        <v>仅查看</v>
      </c>
      <c r="L32" s="108" t="str">
        <v>区域运营</v>
      </c>
      <c r="M32" s="9"/>
      <c r="N32" s="103" t="str">
        <v>/</v>
      </c>
      <c r="O32" s="9"/>
    </row>
    <row r="33">
      <c r="A33" s="3">
        <f>ROW()-2</f>
      </c>
      <c r="B33" s="9" t="str">
        <v>指标分析</v>
      </c>
      <c r="C33" s="9" t="str">
        <v>经营周报-销服</v>
      </c>
      <c r="D33" s="104" t="str">
        <v>销服运营周报-战区</v>
      </c>
      <c r="E33" s="104" t="s">
        <v>30</v>
      </c>
      <c r="F33" s="104" t="str">
        <v>展示表</v>
      </c>
      <c r="G33" s="104" t="str">
        <v>国内-省份/国际-战区</v>
      </c>
      <c r="H33" s="105" t="str">
        <v>/</v>
      </c>
      <c r="I33" s="9"/>
      <c r="J33" s="110" t="str">
        <v>集团财经
销服运营领导
区总
省总</v>
      </c>
      <c r="K33" s="9" t="str">
        <v>仅查看</v>
      </c>
      <c r="L33" s="108" t="str">
        <v>省级运营</v>
      </c>
      <c r="M33" s="9"/>
      <c r="N33" s="103" t="str">
        <v>/</v>
      </c>
      <c r="O33" s="9"/>
    </row>
    <row r="34">
      <c r="A34" s="3">
        <f>ROW()-2</f>
      </c>
      <c r="B34" s="9" t="str">
        <v>指标分析</v>
      </c>
      <c r="C34" s="9" t="str">
        <v>经营周报-销服</v>
      </c>
      <c r="D34" s="104" t="str">
        <v>销服运营周报-战区-产品线</v>
      </c>
      <c r="E34" s="104" t="s">
        <v>31</v>
      </c>
      <c r="F34" s="104" t="str">
        <v>展示表</v>
      </c>
      <c r="G34" s="104" t="str">
        <v>支持按区域下钻查看各产品线数据</v>
      </c>
      <c r="H34" s="105" t="str">
        <v>/</v>
      </c>
      <c r="I34" s="9"/>
      <c r="J34" s="110" t="str">
        <v>集团财经
销服运营领导
区总
省总</v>
      </c>
      <c r="K34" s="9" t="str">
        <v>仅查看</v>
      </c>
      <c r="L34" s="108" t="str">
        <v>省级运营</v>
      </c>
      <c r="M34" s="9"/>
      <c r="N34" s="103" t="str">
        <v>/</v>
      </c>
      <c r="O34" s="9"/>
    </row>
    <row r="35">
      <c r="A35" s="13"/>
    </row>
    <row r="36">
      <c r="A36" s="13"/>
    </row>
    <row r="37">
      <c r="A37" s="13"/>
    </row>
    <row r="38">
      <c r="A38" s="13"/>
    </row>
    <row r="39">
      <c r="A39" s="13"/>
    </row>
    <row r="40">
      <c r="A40" s="13"/>
    </row>
    <row r="41">
      <c r="A41" s="13"/>
    </row>
    <row r="42">
      <c r="A42" s="13"/>
    </row>
    <row r="43">
      <c r="A43" s="13"/>
    </row>
    <row r="44">
      <c r="A44" s="13"/>
    </row>
    <row r="45">
      <c r="A45" s="13"/>
    </row>
    <row r="46">
      <c r="A46" s="13"/>
    </row>
    <row r="47">
      <c r="A47" s="13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</sheetData>
  <mergeCells>
    <mergeCell ref="D1:D2"/>
    <mergeCell ref="C1:C2"/>
    <mergeCell ref="B1:B2"/>
    <mergeCell ref="A1:A2"/>
    <mergeCell ref="H2:I2"/>
    <mergeCell ref="J2:K2"/>
    <mergeCell ref="L2:M2"/>
    <mergeCell ref="N2:O2"/>
    <mergeCell ref="H1:O1"/>
    <mergeCell ref="F1:F2"/>
    <mergeCell ref="G1:G2"/>
    <mergeCell ref="E1:E2"/>
  </mergeCells>
  <dataValidations count="1">
    <dataValidation allowBlank="true" errorStyle="stop" showErrorMessage="true" sqref="K3:K34 O3:O34 I3:I34 M3:M34" type="list">
      <formula1>"仅查看,可录入,/"</formula1>
    </dataValidation>
  </dataValidations>
  <hyperlinks>
    <hyperlink ref="E33" display="http://bi.unilumin.cn:8050/webroot/decision/view/report?viewlet=Unilumin%252F%25E6%2595%25B0%25E6%258D%25AE%25E4%25B8%25AD%25E5%258F%25B0%252F%25E5%2588%2586%25E6%259E%2590%252F%25E6%258C%2587%25E6%25A0%2587%252F%25E5%25B1%2595%25E7%25A4%25BA%25E8%25A1%25A8_%25E9%2594%2580%25E6%259C%258D%25E8%25BF%2590%25E8%2590%25A5%25E5%2591%25A8%25E6%258A%25A5-%25E5%25A4%25A7%25E5%258C%25BA-%25E6%2588%2598%25E5%258C%25BA.cpt&amp;ref_t=design&amp;op=view&amp;ref_c=5a173c92-0bc3-4eaf-a0ae-9931d91d9fbd" r:id="rId1"/>
    <hyperlink ref="E3" display="http://bi.unilumin.cn:8050/webroot/decision/view/report?viewlet=Unilumin%252F%25E6%2595%25B0%25E6%258D%25AE%25E4%25B8%25AD%25E5%258F%25B0%252F%25E5%25A1%25AB%25E6%258A%25A5%252F%25E5%259F%25BA%25E5%2587%2586%25E4%25BB%25B7%252F%25E6%258D%259F%25E8%2580%2597%25E7%258E%2587%25E5%25A1%25AB%25E6%258A%25A5%25E8%25A1%25A8.cpt&amp;ref_t=design&amp;op=write&amp;ref_c=8ed7ad83-d91f-4040-8378-bdfbe69c0059" r:id="rId2"/>
    <hyperlink ref="E15" display="http://bi.unilumin.cn:8050/webroot/decision/view/report?viewlet=Unilumin%252F%25E6%2595%25B0%25E6%258D%25AE%25E4%25B8%25AD%25E5%258F%25B0%252F%25E5%25A1%25AB%25E6%258A%25A5%252F%25E5%259F%25BA%25E5%2587%2586%25E4%25BB%25B7%252FSparts%25E5%25B8%2582%25E5%259C%25BA%25E4%25BB%25B7%25E4%25B8%258E%25E7%25B3%25BB%25E6%2595%25B0%25E5%25A1%25AB%25E6%258A%25A5%25E8%25A1%25A8.cpt&amp;ref_t=design&amp;op=write&amp;ref_c=9e96e942-347c-4741-8f14-f56a9460c974" r:id="rId3"/>
    <hyperlink ref="E26" display="http://bi.unilumin.cn:8050/webroot/decision/view/report?viewlet=Unilumin%252F%25E6%2595%25B0%25E6%258D%25AE%25E4%25B8%25AD%25E5%258F%25B0%252F%25E5%25A1%25AB%25E6%258A%25A5%252F%25E6%258C%2587%25E6%25A0%2587%252F%25E6%258C%2587%25E6%25A0%2587%25E5%25BD%2595%25E5%2585%25A5%25E8%25A1%25A8_%25E5%25AD%2590%25E5%2585%25AC%25E5%258F%25B8%25E7%259B%25AE%25E6%25A0%2587%25E6%2595%25B0%25E6%258D%25AE%25E8%25A1%25A5%25E5%25BD%2595%25E8%25A1%25A8.cpt&amp;ref_t=design&amp;op=write&amp;ref_c=13e7a776-8196-4b96-9a5a-93bb8032260a" r:id="rId4"/>
    <hyperlink ref="E28" display="http://bi.unilumin.cn:8050/webroot/decision/view/report?op=write&amp;ref_c=6742704c-79d8-4a38-8ea9-d5d017b87ecf&amp;viewlet=Unilumin%252F%25E6%2595%25B0%25E6%258D%25AE%25E4%25B8%25AD%25E5%258F%25B0%252F%25E5%2588%2586%25E6%259E%2590%252F%25E6%258C%2587%25E6%25A0%2587%252F%25E9%259B%2586%25E5%259B%25A2%25E5%2591%25A8%25E6%258A%25A5.cpt&amp;ref_t=design" r:id="rId5"/>
    <hyperlink ref="E6" display="http://bi.unilumin.cn:8050/webroot/decision/view/report?viewlet=Unilumin%252F%25E6%2595%25B0%25E6%258D%25AE%25E4%25B8%25AD%25E5%258F%25B0%252F%25E5%25A1%25AB%25E6%258A%25A5%252F%25E5%259F%25BA%25E5%2587%2586%25E4%25BB%25B7%252F%25E5%2588%2586%25E6%2591%258A%25E8%25B4%25B9%25E7%2594%25A8%25E6%25AF%2594%25E4%25BE%258B%25E5%25A1%25AB%25E6%258A%25A5%25E8%25A1%25A8.cpt&amp;ref_t=design&amp;op=write&amp;ref_c=8ed7ad83-d91f-4040-8378-bdfbe69c0059" r:id="rId6"/>
    <hyperlink ref="E34" display="http://bi.unilumin.cn:8050/webroot/decision/view/report?viewlet=Unilumin%252F%25E6%2595%25B0%25E6%258D%25AE%25E4%25B8%25AD%25E5%258F%25B0%252F%25E5%2588%2586%25E6%259E%2590%252F%25E6%258C%2587%25E6%25A0%2587%252F%25E5%25B1%2595%25E7%25A4%25BA%25E8%25A1%25A8_%25E9%2594%2580%25E6%259C%258D%25E8%25BF%2590%25E8%2590%25A5%25E5%2591%25A8%25E6%258A%25A5-%25E5%25A4%25A7%25E5%258C%25BA-%25E6%2588%2598%25E5%258C%25BA-%25E4%25B8%259A%25E5%258A%25A1%25E4%25BA%25A7%25E5%2593%2581%25E7%25BA%25BF.cpt&amp;ref_t=design&amp;op=write&amp;ref_c=5a173c92-0bc3-4eaf-a0ae-9931d91d9fbd" r:id="rId7"/>
    <hyperlink ref="E20" display="http://bi.unilumin.cn:8050/webroot/decision/view/report?viewlet=Unilumin%252F%25E6%2595%25B0%25E6%258D%25AE%25E4%25B8%25AD%25E5%258F%25B0%252F%25E5%25A1%25AB%25E6%258A%25A5%252F%25E6%258C%2587%25E6%25A0%2587%252F%25E6%258C%2587%25E6%25A0%2587%25E5%25BD%2595%25E5%2585%25A5%25E8%25A1%25A8_%25E5%25B9%25B4%25E5%25BA%25A6%25E7%259B%25AE%25E6%25A0%2587%25E5%25BD%2595%25E5%2585%25A5%25E8%25A1%25A8.cpt&amp;ref_t=design&amp;op=write&amp;ref_c=13e7a776-8196-4b96-9a5a-93bb8032260a" r:id="rId8"/>
    <hyperlink ref="E17" display="http://10.2.8.33/pub/pro/mdmdm/homdm-saas/mdm-report/list" r:id="rId9"/>
    <hyperlink ref="E11" display="http://bi.unilumin.cn:8050/webroot/decision/view/report?viewlet=Unilumin%252F%25E6%2595%25B0%25E6%258D%25AE%25E4%25B8%25AD%25E5%258F%25B0%252F%25E5%2588%2586%25E6%259E%2590%252F%25E4%25BA%25A7%25E5%2593%2581%25E6%25B5%258B%25E7%25AE%2597%25E6%2588%2590%25E6%259C%25AC%25E6%2598%258E%25E7%25BB%2586%25E8%25A1%25A8-%25E5%258D%2595%25E5%25B1%2582.cpt&amp;ref_t=design&amp;ref_c=ca58bd40-9408-4c54-80cb-5eb18e5d5602" r:id="rId10"/>
    <hyperlink ref="E4" display="http://bi.unilumin.cn:8050/webroot/decision/view/report?viewlet=Unilumin%252F%25E6%2595%25B0%25E6%258D%25AE%25E4%25B8%25AD%25E5%258F%25B0%252F%25E5%25A1%25AB%25E6%258A%25A5%252F%25E5%259F%25BA%25E5%2587%2586%25E4%25BB%25B7%252F%25E5%2588%25B6%25E8%25B4%25B9%25E7%258E%2587%25E5%259F%25BA%25E7%25BA%25BF%25E5%2580%25BC%25E5%25A1%25AB%25E6%258A%25A5%25E8%25A1%25A8.cpt&amp;ref_t=design&amp;op=write&amp;ref_c=8ed7ad83-d91f-4040-8378-bdfbe69c0059" r:id="rId11"/>
    <hyperlink ref="E31" display="http://bi.unilumin.cn:8050/webroot/decision/view/report?viewlet=Unilumin%252F%25E6%2595%25B0%25E6%258D%25AE%25E4%25B8%25AD%25E5%258F%25B0%252F%25E5%2588%2586%25E6%259E%2590%252F%25E6%258C%2587%25E6%25A0%2587%252F%25E5%25B1%2595%25E7%25A4%25BA%25E8%25A1%25A8_%25E9%2594%2580%25E6%259C%258D%25E8%25BF%2590%25E8%2590%25A5%25E5%2591%25A8%25E6%258A%25A5-%25E5%25A4%25A7%25E5%258C%25BA.cpt&amp;ref_t=design&amp;op=view&amp;ref_c=5a173c92-0bc3-4eaf-a0ae-9931d91d9fbd" r:id="rId12"/>
    <hyperlink ref="E16" display="http://10.2.8.33/pub/pro/mdmdm/homdm-saas/mdm-report/list" r:id="rId13"/>
    <hyperlink ref="E25" display="http://bi.unilumin.cn:8050/webroot/decision/view/report?viewlet=Unilumin%252F%25E6%2595%25B0%25E6%258D%25AE%25E4%25B8%25AD%25E5%258F%25B0%252F%25E5%25A1%25AB%25E6%258A%25A5%252F%25E6%258C%2587%25E6%25A0%2587%252F%25E6%258C%2587%25E6%25A0%2587%25E5%25BD%2595%25E5%2585%25A5%25E8%25A1%25A8_%25E5%25AD%25A3%25E5%25BA%25A6%25E6%2594%25B6%25E5%2585%25A5%25E9%25A2%2584%25E4%25BC%25B0%25E8%25A1%25A5%25E5%25BD%2595%25E8%25A1%25A8.cpt&amp;ref_t=design&amp;op=write&amp;ref_c=13e7a776-8196-4b96-9a5a-93bb8032260a" r:id="rId14"/>
    <hyperlink ref="E27" display="http://bi.unilumin.cn:8050/webroot/decision/view/report?viewlet=Unilumin%252F%25E6%2595%25B0%25E6%258D%25AE%25E4%25B8%25AD%25E5%258F%25B0%252F%25E5%25A1%25AB%25E6%258A%25A5%252F%25E6%258C%2587%25E6%25A0%2587%252F%25E6%258C%2587%25E6%25A0%2587%25E5%25BD%2595%25E5%2585%25A5%25E8%25A1%25A8_%25E5%25AD%2590%25E5%2585%25AC%25E5%258F%25B8%25E5%25AE%259E%25E9%2599%2585%25E6%2595%25B0%25E6%258D%25AE%25E8%25A1%25A5%25E5%25BD%2595%25E8%25A1%25A8.cpt&amp;ref_t=design&amp;op=write&amp;ref_c=13e7a776-8196-4b96-9a5a-93bb8032260a" r:id="rId15"/>
    <hyperlink ref="E23" display="http://bi.unilumin.cn:8050/webroot/decision/view/report?viewlet=Unilumin%252F%25E6%2595%25B0%25E6%258D%25AE%25E4%25B8%25AD%25E5%258F%25B0%252F%25E5%25A1%25AB%25E6%258A%25A5%252F%25E6%258C%2587%25E6%25A0%2587%252F%25E6%258C%2587%25E6%25A0%2587%25E5%25BD%2595%25E5%2585%25A5%25E8%25A1%25A8_%25E5%2591%25A8%25E8%25AE%25A1%25E5%2588%2592%25E5%25BD%2595%25E5%2585%25A5%25E8%25A1%25A8.cpt&amp;ref_t=design&amp;op=write&amp;ref_c=13e7a776-8196-4b96-9a5a-93bb8032260a" r:id="rId16"/>
    <hyperlink ref="E18" display="http://10.2.8.33/pub/pro/mdmdm/homdm-saas/mdm-report/list" r:id="rId17"/>
    <hyperlink ref="E24" display="http://bi.unilumin.cn:8050/webroot/decision/view/report?viewlet=Unilumin%252F%25E6%2595%25B0%25E6%258D%25AE%25E4%25B8%25AD%25E5%258F%25B0%252F%25E5%25A1%25AB%25E6%258A%25A5%252F%25E6%258C%2587%25E6%25A0%2587%252F%25E6%258C%2587%25E6%25A0%2587%25E5%25BD%2595%25E5%2585%25A5%25E8%25A1%25A8_%25E6%2589%258B%25E5%25B7%25A5%25E4%25B8%259A%25E7%25BB%25A9%25E5%25BD%2595%25E5%2585%25A5%25E8%25A1%25A8.cpt&amp;ref_t=design&amp;op=write&amp;ref_c=13e7a776-8196-4b96-9a5a-93bb8032260a" r:id="rId18"/>
    <hyperlink ref="E10" display="http://bi.unilumin.cn:8050/webroot/decision/view/report?viewlet=Unilumin%252F%25E6%2595%25B0%25E6%258D%25AE%25E4%25B8%25AD%25E5%258F%25B0%252F%25E5%2588%2586%25E6%259E%2590%252F%25E4%25BA%25A7%25E5%2593%2581%25E6%25B5%258B%25E7%25AE%2597%25E6%2588%2590%25E6%259C%25AC%25E5%25B1%2595%25E7%25A4%25BA%25E8%25A1%25A8.cpt&amp;ref_t=design&amp;ref_c=ca58bd40-9408-4c54-80cb-5eb18e5d5602" r:id="rId19"/>
    <hyperlink ref="E7" display="http://bi.unilumin.cn:8050/webroot/decision/view/report?viewlet=Unilumin%252F%25E6%2595%25B0%25E6%258D%25AE%25E4%25B8%25AD%25E5%258F%25B0%252F%25E5%25A1%25AB%25E6%258A%25A5%252F%25E5%259F%25BA%25E5%2587%2586%25E4%25BB%25B7%252F%25E5%25B7%25A5%25E5%258E%2582%25E4%25BE%259B%25E8%25B4%25A7%25E6%25AF%2594%25E4%25BE%258B%25E5%25A1%25AB%25E6%258A%25A5%25E8%25A1%25A8.cpt&amp;ref_t=design&amp;op=write&amp;ref_c=8ed7ad83-d91f-4040-8378-bdfbe69c0059" r:id="rId20"/>
    <hyperlink ref="E14" display="http://bi.unilumin.cn:8050/webroot/decision/view/report?viewlet=Unilumin%252F%25E6%2595%25B0%25E6%258D%25AE%25E4%25B8%25AD%25E5%258F%25B0%252F%25E5%25A1%25AB%25E6%258A%25A5%252F%25E5%259F%25BA%25E5%2587%2586%25E4%25BB%25B7%252F%25E4%25BB%25B7%25E6%25A0%25BC%25E7%25B3%25BB%25E6%2595%25B0%25E4%25B8%258E%25E9%25A2%259D%25E5%25A4%2596%25E8%25B4%25A8%25E4%25BF%259D%25E6%25AF%2594%25E4%25BE%258B%25E5%25A1%25AB%25E6%258A%25A5%25E8%25A1%25A8.cpt&amp;ref_t=design&amp;op=write&amp;ref_c=8ed7ad83-d91f-4040-8378-bdfbe69c0059" r:id="rId21"/>
    <hyperlink ref="E21" display="http://bi.unilumin.cn:8050/webroot/decision/view/report?viewlet=Unilumin%252F%25E6%2595%25B0%25E6%258D%25AE%25E4%25B8%25AD%25E5%258F%25B0%252F%25E5%2588%2586%25E6%259E%2590%252F%25E6%258C%2587%25E6%25A0%2587%252F%25E6%258C%2587%25E6%25A0%2587%25E5%25B1%2595%25E7%25A4%25BA%25E8%25A1%25A8_%25E5%25B9%25B4%25E5%25BA%25A6%25E7%259B%25AE%25E6%25A0%2587%25E6%25BB%259A%25E5%258A%25A8%25E8%25AE%25A1%25E7%25AE%2597%25E8%25A1%25A8.cpt&amp;ref_t=design&amp;op=write&amp;ref_c=13e7a776-8196-4b96-9a5a-93bb8032260a" r:id="rId22"/>
    <hyperlink ref="E30" display="http://bi.unilumin.cn:8050/webroot/decision/view/report?viewlet=Unilumin%252F%25E6%2595%25B0%25E6%258D%25AE%25E4%25B8%25AD%25E5%258F%25B0%252F%25E5%2588%2586%25E6%259E%2590%252F%25E6%258C%2587%25E6%25A0%2587%252F%25E5%25B1%2595%25E7%25A4%25BA%25E8%25A1%25A8_%25E9%2594%2580%25E6%259C%258D%25E8%25BF%2590%25E8%2590%25A5%25E5%2591%25A8%25E6%258A%25A5-%25E6%2595%25B4%25E4%25BD%2593-%25E4%25BA%25A7%25E5%2593%2581%25E7%25BA%25BF.cpt&amp;ref_t=design&amp;op=view&amp;ref_c=5a173c92-0bc3-4eaf-a0ae-9931d91d9fbd" r:id="rId23"/>
    <hyperlink ref="E22" display="http://bi.unilumin.cn:8050/webroot/decision/view/report?viewlet=Unilumin%252F%25E6%2595%25B0%25E6%258D%25AE%25E4%25B8%25AD%25E5%258F%25B0%252F%25E5%25A1%25AB%25E6%258A%25A5%252F%25E6%258C%2587%25E6%25A0%2587%252F%25E6%258C%2587%25E6%25A0%2587%25E5%25BD%2595%25E5%2585%25A5%25E8%25A1%25A8_%25E6%259C%2588%25E5%25BA%25A6%25E4%25BF%259D%25E5%25BA%2595%25E7%259B%25AE%25E6%25A0%2587%25E5%25BD%2595%25E5%2585%25A5%25E8%25A1%25A8.cpt&amp;ref_t=design&amp;op=write&amp;ref_c=6742704c-79d8-4a38-8ea9-d5d017b87ecf" r:id="rId24"/>
    <hyperlink ref="E9" display="http://bi.unilumin.cn:8050/webroot/decision/view/report?viewlet=Unilumin%252F%25E6%2595%25B0%25E6%258D%25AE%25E4%25B8%25AD%25E5%258F%25B0%252F%25E5%2588%2586%25E6%259E%2590%252F%25E4%25BA%25A7%25E5%2593%2581%25E6%259C%2580%25E9%25AB%2598%25E6%25B5%258B%25E7%25AE%2597%25E6%2588%2590%25E6%259C%25AC%25E5%25B1%2595%25E7%25A4%25BA%25E8%25A1%25A8.cpt&amp;ref_t=design&amp;ref_c=ca58bd40-9408-4c54-80cb-5eb18e5d5602" r:id="rId25"/>
    <hyperlink ref="E5" display="http://bi.unilumin.cn:8050/webroot/decision/view/report?viewlet=Unilumin%252F%25E6%2595%25B0%25E6%258D%25AE%25E4%25B8%25AD%25E5%258F%25B0%252F%25E5%25A1%25AB%25E6%258A%25A5%252F%25E5%259F%25BA%25E5%2587%2586%25E4%25BB%25B7%252F%25E5%2588%25B6%25E8%25B4%25B9%25E7%258E%2587%25E5%25A1%25AB%25E6%258A%25A5%25E8%25A1%25A8.cpt&amp;ref_t=design&amp;op=write&amp;ref_c=8ed7ad83-d91f-4040-8378-bdfbe69c0059" r:id="rId26"/>
    <hyperlink ref="E19" display="http://bi.unilumin.cn:8050/webroot/decision/view/report?viewlet=Unilumin%252F%25E6%2595%25B0%25E6%258D%25AE%25E4%25B8%25AD%25E5%258F%25B0%252F%25E5%25A1%25AB%25E6%258A%25A5%252F%25E4%25B8%25BB%25E6%2595%25B0%25E6%258D%25AE%252F%25E4%25B8%25BB%25E6%2595%25B0%25E6%258D%25AE-%25E5%2590%2584%25E7%25B3%25BB%25E7%25BB%259F%25E8%25B4%25A6%25E5%258F%25B7%25E4%25BF%25A1%25E6%2581%25AF%25E5%25A1%25AB%25E6%258A%25A5%25E8%25A1%25A8.cpt&amp;ref_t=design&amp;op=write&amp;ref_c=8ed7ad83-d91f-4040-8378-bdfbe69c0059" r:id="rId27"/>
    <hyperlink ref="E29" display="http://bi.unilumin.cn:8050/webroot/decision/view/report?viewlet=Unilumin%252F%25E6%2595%25B0%25E6%258D%25AE%25E4%25B8%25AD%25E5%258F%25B0%252F%25E5%2588%2586%25E6%259E%2590%252F%25E6%258C%2587%25E6%25A0%2587%252F%25E5%25B1%2595%25E7%25A4%25BA%25E8%25A1%25A8_%25E9%2594%2580%25E6%259C%258D%25E8%25BF%2590%25E8%2590%25A5%25E5%2591%25A8%25E6%258A%25A5.cpt&amp;ref_t=design&amp;op=view&amp;ref_c=5a173c92-0bc3-4eaf-a0ae-9931d91d9fbd" r:id="rId28"/>
    <hyperlink ref="E13" display="http://bi.unilumin.cn:8050/webroot/decision/view/report?viewlet=Unilumin%252F%25E6%2595%25B0%25E6%258D%25AE%25E4%25B8%25AD%25E5%258F%25B0%252F%25E5%25A1%25AB%25E6%258A%25A5%252F%25E5%259F%25BA%25E5%2587%2586%25E4%25BB%25B7%252F%25E5%25B7%25A5%25E7%25A8%258B%25E6%259C%258D%25E5%258A%25A1%25E4%25BB%25B7%25E6%25A0%25BC%25E5%25A1%25AB%25E6%258A%25A5%25E8%25A1%25A8.cpt&amp;ref_t=design&amp;op=write&amp;ref_c=8ed7ad83-d91f-4040-8378-bdfbe69c0059" r:id="rId29"/>
    <hyperlink ref="E12" display="http://bi.unilumin.cn:8050/webroot/decision/view/report?viewlet=Unilumin%252F%25E6%2595%25B0%25E6%258D%25AE%25E4%25B8%25AD%25E5%258F%25B0%252F%25E5%25A1%25AB%25E6%258A%25A5%252F%25E5%259F%25BA%25E5%2587%2586%25E4%25BB%25B7%252F%25E5%2588%2586%25E9%2594%2580%25E6%25A8%25A1%25E7%25BB%2584-%25E5%2588%25B6%25E8%25B4%25B9%25E5%25A1%25AB%25E6%258A%25A5%25E8%25A1%25A8.cpt&amp;ref_t=design&amp;op=write&amp;ref_c=8ed7ad83-d91f-4040-8378-bdfbe69c0059" r:id="rId30"/>
    <hyperlink ref="E32" display="http://bi.unilumin.cn:8050/webroot/decision/view/report?viewlet=Unilumin%252F%25E6%2595%25B0%25E6%258D%25AE%25E4%25B8%25AD%25E5%258F%25B0%252F%25E5%2588%2586%25E6%259E%2590%252F%25E6%258C%2587%25E6%25A0%2587%252F%25E5%25B1%2595%25E7%25A4%25BA%25E8%25A1%25A8_%25E9%2594%2580%25E6%259C%258D%25E8%25BF%2590%25E8%2590%25A5%25E5%2591%25A8%25E6%258A%25A5-%25E5%25A4%25A7%25E5%258C%25BA-%25E4%25B8%259A%25E5%258A%25A1%25E4%25BA%25A7%25E5%2593%2581%25E7%25BA%25BF.cpt&amp;ref_t=design&amp;op=write&amp;ref_c=5a173c92-0bc3-4eaf-a0ae-9931d91d9fbd" r:id="rId31"/>
    <hyperlink ref="E8" display="http://bi.unilumin.cn:8050/webroot/decision/view/report?viewlet=Unilumin%252F%25E6%2595%25B0%25E6%258D%25AE%25E4%25B8%25AD%25E5%258F%25B0%252F%25E5%25A1%25AB%25E6%258A%25A5%252F%25E5%259F%25BA%25E5%2587%2586%25E4%25BB%25B7%252F%25E5%259F%25BA%25E5%2587%2586%25E4%25BB%25B7%25E8%25B0%2583%25E6%2595%25B4%25E5%2580%25BC%25E5%25A1%25AB%25E6%258A%25A5%25E8%25A1%25A8.cpt&amp;ref_t=design&amp;op=write&amp;ref_c=8ed7ad83-d91f-4040-8378-bdfbe69c0059" r:id="rId32"/>
  </hyperlink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3"/>
    <col collapsed="false" customWidth="true" hidden="false" max="3" min="3" style="0" width="21"/>
    <col collapsed="false" customWidth="true" hidden="false" max="4" min="4" style="0" width="24"/>
    <col collapsed="false" customWidth="true" hidden="false" max="5" min="5" style="0" width="27"/>
    <col collapsed="false" customWidth="true" hidden="false" max="7" min="7" style="0" width="13"/>
    <col collapsed="false" customWidth="true" hidden="false" max="8" min="8" style="0" width="7"/>
    <col collapsed="false" customWidth="true" hidden="false" max="9" min="9" style="0" width="7"/>
    <col collapsed="false" customWidth="true" hidden="false" max="10" min="10" style="0" width="7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0"/>
    <col collapsed="false" customWidth="true" hidden="false" max="15" min="15" style="0" width="14"/>
    <col collapsed="false" customWidth="true" hidden="false" max="16" min="16" style="0" width="35"/>
    <col collapsed="false" customWidth="true" hidden="false" max="17" min="17" style="0" width="35"/>
  </cols>
  <sheetData>
    <row r="1">
      <c r="A1" s="118" t="str">
        <v>使用说明：问题登记后进行编码，排查沟通过程可使用编码定位问题；经排查发现不是问题，不要直接删除，可修改问题状态为【取消】。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</row>
    <row r="2">
      <c r="A2" s="122" t="str">
        <v>问题编码</v>
      </c>
      <c r="B2" s="121" t="str">
        <v>项目阶段</v>
      </c>
      <c r="C2" s="119" t="str">
        <v>测试模块</v>
      </c>
      <c r="D2" s="119" t="str">
        <v>问题关键字
(表单名称+问题概述)</v>
      </c>
      <c r="E2" s="119" t="str">
        <v>具体问题描述</v>
      </c>
      <c r="F2" s="119" t="str">
        <v>问题截图</v>
      </c>
      <c r="G2" s="119" t="str">
        <v>问题类型</v>
      </c>
      <c r="H2" s="119" t="str">
        <v>优先级</v>
      </c>
      <c r="I2" s="119" t="str">
        <v>提出人</v>
      </c>
      <c r="J2" s="121" t="str">
        <v>跟进人</v>
      </c>
      <c r="K2" s="119" t="str">
        <v>提出时间</v>
      </c>
      <c r="L2" s="119" t="str">
        <v>计划完成时间</v>
      </c>
      <c r="M2" s="119" t="str">
        <v>实际完成时间</v>
      </c>
      <c r="N2" s="119" t="str">
        <v>问题状态</v>
      </c>
      <c r="O2" s="120" t="str">
        <v>问题定位</v>
      </c>
      <c r="P2" s="120" t="str">
        <v>问题原因</v>
      </c>
      <c r="Q2" s="120" t="str">
        <v>解决方案</v>
      </c>
      <c r="R2" s="119" t="str">
        <v>备注说明</v>
      </c>
      <c r="S2" s="119" t="str">
        <v>补充截图1</v>
      </c>
      <c r="T2" s="119" t="str">
        <v>补充截图2</v>
      </c>
      <c r="U2" s="119" t="str">
        <v>补充截图3</v>
      </c>
      <c r="V2" s="119" t="str">
        <v>补充截图4</v>
      </c>
      <c r="W2" s="119" t="str">
        <v>补充截图5</v>
      </c>
    </row>
    <row r="3">
      <c r="A3" s="3">
        <f>ROW()</f>
      </c>
      <c r="B3" s="63" t="str">
        <v>UAT测试</v>
      </c>
      <c r="C3" s="9" t="str">
        <v>基准价-</v>
      </c>
      <c r="D3" s="9"/>
      <c r="E3" s="9"/>
      <c r="F3" s="9"/>
      <c r="G3" s="63" t="str">
        <v>数据问题</v>
      </c>
      <c r="H3" s="66" t="str">
        <v>中</v>
      </c>
      <c r="I3" s="9"/>
      <c r="J3" s="9"/>
      <c r="K3" s="116"/>
      <c r="L3" s="9"/>
      <c r="M3" s="116"/>
      <c r="N3" s="66" t="str">
        <v>未开始</v>
      </c>
      <c r="O3" s="9"/>
      <c r="P3" s="9"/>
      <c r="Q3" s="9"/>
      <c r="R3" s="9"/>
      <c r="S3" s="9"/>
      <c r="T3" s="9"/>
      <c r="U3" s="9"/>
      <c r="V3" s="9"/>
      <c r="W3" s="9"/>
    </row>
    <row r="4">
      <c r="A4" s="3">
        <f>ROW()</f>
      </c>
      <c r="B4" s="63" t="str">
        <v>UAT测试</v>
      </c>
      <c r="C4" s="9"/>
      <c r="D4" s="9"/>
      <c r="E4" s="9"/>
      <c r="F4" s="9"/>
      <c r="G4" s="63"/>
      <c r="H4" s="66"/>
      <c r="I4" s="9"/>
      <c r="J4" s="9"/>
      <c r="K4" s="116"/>
      <c r="L4" s="9"/>
      <c r="M4" s="116"/>
      <c r="N4" s="66"/>
      <c r="O4" s="9"/>
      <c r="P4" s="9"/>
      <c r="Q4" s="9"/>
      <c r="R4" s="9"/>
      <c r="S4" s="9"/>
      <c r="T4" s="9"/>
      <c r="U4" s="9"/>
      <c r="V4" s="9"/>
      <c r="W4" s="9"/>
    </row>
    <row r="5">
      <c r="A5" s="3">
        <f>ROW()</f>
      </c>
      <c r="B5" s="63" t="str">
        <v>UAT测试</v>
      </c>
      <c r="C5" s="9"/>
      <c r="D5" s="9"/>
      <c r="E5" s="9"/>
      <c r="F5" s="9"/>
      <c r="G5" s="63"/>
      <c r="H5" s="66"/>
      <c r="I5" s="9"/>
      <c r="J5" s="9"/>
      <c r="K5" s="116"/>
      <c r="L5" s="9"/>
      <c r="M5" s="116"/>
      <c r="N5" s="66"/>
      <c r="O5" s="9"/>
      <c r="P5" s="9"/>
      <c r="Q5" s="9"/>
      <c r="R5" s="9"/>
      <c r="S5" s="9"/>
      <c r="T5" s="9"/>
      <c r="U5" s="9"/>
      <c r="V5" s="9"/>
      <c r="W5" s="9"/>
    </row>
    <row r="6">
      <c r="A6" s="3">
        <f>ROW()</f>
      </c>
      <c r="B6" s="63" t="str">
        <v>UAT测试</v>
      </c>
      <c r="C6" s="9"/>
      <c r="D6" s="9"/>
      <c r="E6" s="9"/>
      <c r="F6" s="9"/>
      <c r="G6" s="63"/>
      <c r="H6" s="66"/>
      <c r="I6" s="9"/>
      <c r="J6" s="9"/>
      <c r="K6" s="116"/>
      <c r="L6" s="9"/>
      <c r="M6" s="116"/>
      <c r="N6" s="66"/>
      <c r="O6" s="9"/>
      <c r="P6" s="9"/>
      <c r="Q6" s="9"/>
      <c r="R6" s="9"/>
      <c r="S6" s="9"/>
      <c r="T6" s="9"/>
      <c r="U6" s="9"/>
      <c r="V6" s="9"/>
      <c r="W6" s="9"/>
    </row>
    <row r="7">
      <c r="A7" s="3">
        <f>ROW()</f>
      </c>
      <c r="B7" s="63" t="str">
        <v>UAT测试</v>
      </c>
      <c r="C7" s="9"/>
      <c r="D7" s="9"/>
      <c r="E7" s="9"/>
      <c r="F7" s="9"/>
      <c r="G7" s="63"/>
      <c r="H7" s="66"/>
      <c r="I7" s="9"/>
      <c r="J7" s="9"/>
      <c r="K7" s="116"/>
      <c r="L7" s="9"/>
      <c r="M7" s="116"/>
      <c r="N7" s="66"/>
      <c r="O7" s="9"/>
      <c r="P7" s="9"/>
      <c r="Q7" s="9"/>
      <c r="R7" s="9"/>
      <c r="S7" s="9"/>
      <c r="T7" s="9"/>
      <c r="U7" s="9"/>
      <c r="V7" s="9"/>
      <c r="W7" s="9"/>
    </row>
    <row r="8">
      <c r="A8" s="3">
        <f>ROW()</f>
      </c>
      <c r="B8" s="63" t="str">
        <v>UAT测试</v>
      </c>
      <c r="C8" s="9"/>
      <c r="D8" s="9"/>
      <c r="E8" s="9"/>
      <c r="F8" s="9"/>
      <c r="G8" s="63"/>
      <c r="H8" s="66"/>
      <c r="I8" s="9"/>
      <c r="J8" s="9"/>
      <c r="K8" s="116"/>
      <c r="L8" s="9"/>
      <c r="M8" s="116"/>
      <c r="N8" s="66"/>
      <c r="O8" s="9"/>
      <c r="P8" s="9"/>
      <c r="Q8" s="9"/>
      <c r="R8" s="9"/>
      <c r="S8" s="9"/>
      <c r="T8" s="9"/>
      <c r="U8" s="9"/>
      <c r="V8" s="9"/>
      <c r="W8" s="9"/>
    </row>
    <row r="9">
      <c r="A9" s="3">
        <f>ROW()</f>
      </c>
      <c r="B9" s="63" t="str">
        <v>UAT测试</v>
      </c>
      <c r="C9" s="9"/>
      <c r="D9" s="9"/>
      <c r="E9" s="9"/>
      <c r="F9" s="9"/>
      <c r="G9" s="63"/>
      <c r="H9" s="66"/>
      <c r="I9" s="9"/>
      <c r="J9" s="9"/>
      <c r="K9" s="116"/>
      <c r="L9" s="9"/>
      <c r="M9" s="116"/>
      <c r="N9" s="66"/>
      <c r="O9" s="9"/>
      <c r="P9" s="9"/>
      <c r="Q9" s="9"/>
      <c r="R9" s="9"/>
      <c r="S9" s="9"/>
      <c r="T9" s="9"/>
      <c r="U9" s="9"/>
      <c r="V9" s="9"/>
      <c r="W9" s="9"/>
    </row>
    <row r="10">
      <c r="A10" s="3">
        <f>ROW()</f>
      </c>
      <c r="B10" s="63" t="str">
        <v>UAT测试</v>
      </c>
      <c r="C10" s="9"/>
      <c r="D10" s="9"/>
      <c r="E10" s="9"/>
      <c r="F10" s="9"/>
      <c r="G10" s="63"/>
      <c r="H10" s="66"/>
      <c r="I10" s="9"/>
      <c r="J10" s="9"/>
      <c r="K10" s="116"/>
      <c r="L10" s="9"/>
      <c r="M10" s="116"/>
      <c r="N10" s="66"/>
      <c r="O10" s="9"/>
      <c r="P10" s="9"/>
      <c r="Q10" s="9"/>
      <c r="R10" s="9"/>
      <c r="S10" s="9"/>
      <c r="T10" s="9"/>
      <c r="U10" s="9"/>
      <c r="V10" s="9"/>
      <c r="W10" s="9"/>
    </row>
    <row r="11">
      <c r="A11" s="3">
        <f>ROW()</f>
      </c>
      <c r="B11" s="63" t="str">
        <v>UAT测试</v>
      </c>
      <c r="C11" s="9"/>
      <c r="D11" s="9"/>
      <c r="E11" s="9"/>
      <c r="F11" s="9"/>
      <c r="G11" s="63"/>
      <c r="H11" s="66"/>
      <c r="I11" s="9"/>
      <c r="J11" s="9"/>
      <c r="K11" s="116"/>
      <c r="L11" s="9"/>
      <c r="M11" s="116"/>
      <c r="N11" s="66"/>
      <c r="O11" s="9"/>
      <c r="P11" s="9"/>
      <c r="Q11" s="9"/>
      <c r="R11" s="9"/>
      <c r="S11" s="9"/>
      <c r="T11" s="9"/>
      <c r="U11" s="9"/>
      <c r="V11" s="9"/>
      <c r="W11" s="9"/>
    </row>
    <row r="12">
      <c r="A12" s="3">
        <f>ROW()</f>
      </c>
      <c r="B12" s="63" t="str">
        <v>UAT测试</v>
      </c>
      <c r="C12" s="9"/>
      <c r="D12" s="9"/>
      <c r="E12" s="9"/>
      <c r="F12" s="9"/>
      <c r="G12" s="63"/>
      <c r="H12" s="66"/>
      <c r="I12" s="9"/>
      <c r="J12" s="9"/>
      <c r="K12" s="116"/>
      <c r="L12" s="9"/>
      <c r="M12" s="116"/>
      <c r="N12" s="66"/>
      <c r="O12" s="9"/>
      <c r="P12" s="9"/>
      <c r="Q12" s="9"/>
      <c r="R12" s="9"/>
      <c r="S12" s="9"/>
      <c r="T12" s="9"/>
      <c r="U12" s="9"/>
      <c r="V12" s="9"/>
      <c r="W12" s="9"/>
    </row>
    <row r="13">
      <c r="A13" s="3">
        <f>ROW()</f>
      </c>
      <c r="B13" s="63" t="str">
        <v>UAT测试</v>
      </c>
      <c r="C13" s="9"/>
      <c r="D13" s="9"/>
      <c r="E13" s="9"/>
      <c r="F13" s="9"/>
      <c r="G13" s="63"/>
      <c r="H13" s="66"/>
      <c r="I13" s="9"/>
      <c r="J13" s="9"/>
      <c r="K13" s="116"/>
      <c r="L13" s="9"/>
      <c r="M13" s="116"/>
      <c r="N13" s="66"/>
      <c r="O13" s="9"/>
      <c r="P13" s="9"/>
      <c r="Q13" s="9"/>
      <c r="R13" s="9"/>
      <c r="S13" s="9"/>
      <c r="T13" s="9"/>
      <c r="U13" s="9"/>
      <c r="V13" s="9"/>
      <c r="W13" s="9"/>
    </row>
    <row r="14">
      <c r="A14" s="3">
        <f>ROW()</f>
      </c>
      <c r="B14" s="63" t="str">
        <v>UAT测试</v>
      </c>
      <c r="C14" s="9"/>
      <c r="D14" s="9"/>
      <c r="E14" s="9"/>
      <c r="F14" s="9"/>
      <c r="G14" s="63"/>
      <c r="H14" s="66"/>
      <c r="I14" s="9"/>
      <c r="J14" s="9"/>
      <c r="K14" s="116"/>
      <c r="L14" s="9"/>
      <c r="M14" s="116"/>
      <c r="N14" s="66"/>
      <c r="O14" s="9"/>
      <c r="P14" s="9"/>
      <c r="Q14" s="9"/>
      <c r="R14" s="9"/>
      <c r="S14" s="9"/>
      <c r="T14" s="9"/>
      <c r="U14" s="9"/>
      <c r="V14" s="9"/>
      <c r="W14" s="9"/>
    </row>
    <row r="15">
      <c r="A15" s="3">
        <f>ROW()</f>
      </c>
      <c r="B15" s="63" t="str">
        <v>UAT测试</v>
      </c>
      <c r="C15" s="9"/>
      <c r="D15" s="9"/>
      <c r="E15" s="9"/>
      <c r="F15" s="9"/>
      <c r="G15" s="63"/>
      <c r="H15" s="66"/>
      <c r="I15" s="9"/>
      <c r="J15" s="9"/>
      <c r="K15" s="116"/>
      <c r="L15" s="9"/>
      <c r="M15" s="116"/>
      <c r="N15" s="66"/>
      <c r="O15" s="9"/>
      <c r="P15" s="9"/>
      <c r="Q15" s="9"/>
      <c r="R15" s="9"/>
      <c r="S15" s="9"/>
      <c r="T15" s="9"/>
      <c r="U15" s="9"/>
      <c r="V15" s="9"/>
      <c r="W15" s="9"/>
    </row>
    <row r="16">
      <c r="A16" s="3">
        <f>ROW()</f>
      </c>
      <c r="B16" s="63" t="str">
        <v>UAT测试</v>
      </c>
      <c r="C16" s="9"/>
      <c r="D16" s="9"/>
      <c r="E16" s="9"/>
      <c r="F16" s="9"/>
      <c r="G16" s="63"/>
      <c r="H16" s="66"/>
      <c r="I16" s="9"/>
      <c r="J16" s="9"/>
      <c r="K16" s="116"/>
      <c r="L16" s="9"/>
      <c r="M16" s="116"/>
      <c r="N16" s="66"/>
      <c r="O16" s="9"/>
      <c r="P16" s="9"/>
      <c r="Q16" s="9"/>
      <c r="R16" s="9"/>
      <c r="S16" s="9"/>
      <c r="T16" s="9"/>
      <c r="U16" s="9"/>
      <c r="V16" s="9"/>
      <c r="W16" s="9"/>
    </row>
    <row r="17">
      <c r="A17" s="3">
        <f>ROW()</f>
      </c>
      <c r="B17" s="63" t="str">
        <v>UAT测试</v>
      </c>
      <c r="C17" s="9"/>
      <c r="D17" s="9"/>
      <c r="E17" s="9"/>
      <c r="F17" s="9"/>
      <c r="G17" s="63"/>
      <c r="H17" s="66"/>
      <c r="I17" s="9"/>
      <c r="J17" s="9"/>
      <c r="K17" s="116"/>
      <c r="L17" s="9"/>
      <c r="M17" s="116"/>
      <c r="N17" s="66"/>
      <c r="O17" s="9"/>
      <c r="P17" s="9"/>
      <c r="Q17" s="9"/>
      <c r="R17" s="9"/>
      <c r="S17" s="9"/>
      <c r="T17" s="9"/>
      <c r="U17" s="9"/>
      <c r="V17" s="9"/>
      <c r="W17" s="9"/>
    </row>
    <row r="18">
      <c r="A18" s="3">
        <f>ROW()</f>
      </c>
      <c r="B18" s="63" t="str">
        <v>UAT测试</v>
      </c>
      <c r="C18" s="9"/>
      <c r="D18" s="9"/>
      <c r="E18" s="9"/>
      <c r="F18" s="9"/>
      <c r="G18" s="63"/>
      <c r="H18" s="66"/>
      <c r="I18" s="9"/>
      <c r="J18" s="9"/>
      <c r="K18" s="116"/>
      <c r="L18" s="9"/>
      <c r="M18" s="116"/>
      <c r="N18" s="66"/>
      <c r="O18" s="9"/>
      <c r="P18" s="9"/>
      <c r="Q18" s="9"/>
      <c r="R18" s="9"/>
      <c r="S18" s="9"/>
      <c r="T18" s="9"/>
      <c r="U18" s="9"/>
      <c r="V18" s="9"/>
      <c r="W18" s="9"/>
    </row>
    <row r="19">
      <c r="A19" s="3">
        <f>ROW()</f>
      </c>
      <c r="B19" s="63" t="str">
        <v>UAT测试</v>
      </c>
      <c r="C19" s="9"/>
      <c r="D19" s="9"/>
      <c r="E19" s="9"/>
      <c r="F19" s="9"/>
      <c r="G19" s="63"/>
      <c r="H19" s="66"/>
      <c r="I19" s="9"/>
      <c r="J19" s="9"/>
      <c r="K19" s="116"/>
      <c r="L19" s="9"/>
      <c r="M19" s="116"/>
      <c r="N19" s="66"/>
      <c r="O19" s="9"/>
      <c r="P19" s="9"/>
      <c r="Q19" s="9"/>
      <c r="R19" s="9"/>
      <c r="S19" s="9"/>
      <c r="T19" s="9"/>
      <c r="U19" s="9"/>
      <c r="V19" s="9"/>
      <c r="W19" s="9"/>
    </row>
    <row r="20">
      <c r="A20" s="3">
        <f>ROW()</f>
      </c>
      <c r="B20" s="63" t="str">
        <v>UAT测试</v>
      </c>
      <c r="C20" s="9"/>
      <c r="D20" s="9"/>
      <c r="E20" s="9"/>
      <c r="F20" s="9"/>
      <c r="G20" s="63"/>
      <c r="H20" s="66"/>
      <c r="I20" s="9"/>
      <c r="J20" s="9"/>
      <c r="K20" s="116"/>
      <c r="L20" s="9"/>
      <c r="M20" s="116"/>
      <c r="N20" s="66"/>
      <c r="O20" s="9"/>
      <c r="P20" s="9"/>
      <c r="Q20" s="9"/>
      <c r="R20" s="9"/>
      <c r="S20" s="9"/>
      <c r="T20" s="9"/>
      <c r="U20" s="9"/>
      <c r="V20" s="9"/>
      <c r="W20" s="9"/>
    </row>
    <row r="21">
      <c r="A21" s="3">
        <f>ROW()</f>
      </c>
      <c r="B21" s="63" t="str">
        <v>UAT测试</v>
      </c>
      <c r="C21" s="9"/>
      <c r="D21" s="9"/>
      <c r="E21" s="9"/>
      <c r="F21" s="9"/>
      <c r="G21" s="63"/>
      <c r="H21" s="66"/>
      <c r="I21" s="9"/>
      <c r="J21" s="9"/>
      <c r="K21" s="116"/>
      <c r="L21" s="9"/>
      <c r="M21" s="116"/>
      <c r="N21" s="66"/>
      <c r="O21" s="9"/>
      <c r="P21" s="9"/>
      <c r="Q21" s="9"/>
      <c r="R21" s="9"/>
      <c r="S21" s="9"/>
      <c r="T21" s="9"/>
      <c r="U21" s="9"/>
      <c r="V21" s="9"/>
      <c r="W21" s="9"/>
    </row>
    <row r="22">
      <c r="A22" s="3">
        <f>ROW()</f>
      </c>
      <c r="B22" s="63" t="str">
        <v>UAT测试</v>
      </c>
      <c r="C22" s="9"/>
      <c r="D22" s="9"/>
      <c r="E22" s="9"/>
      <c r="F22" s="9"/>
      <c r="G22" s="63"/>
      <c r="H22" s="66"/>
      <c r="I22" s="9"/>
      <c r="J22" s="9"/>
      <c r="K22" s="116"/>
      <c r="L22" s="9"/>
      <c r="M22" s="116"/>
      <c r="N22" s="66"/>
      <c r="O22" s="9"/>
      <c r="P22" s="9"/>
      <c r="Q22" s="9"/>
      <c r="R22" s="9"/>
      <c r="S22" s="9"/>
      <c r="T22" s="9"/>
      <c r="U22" s="9"/>
      <c r="V22" s="9"/>
      <c r="W22" s="9"/>
    </row>
    <row r="23">
      <c r="A23" s="3">
        <f>ROW()</f>
      </c>
      <c r="B23" s="63" t="str">
        <v>UAT测试</v>
      </c>
      <c r="C23" s="9"/>
      <c r="D23" s="9"/>
      <c r="E23" s="9"/>
      <c r="F23" s="9"/>
      <c r="G23" s="63"/>
      <c r="H23" s="66"/>
      <c r="I23" s="9"/>
      <c r="J23" s="9"/>
      <c r="K23" s="116"/>
      <c r="L23" s="9"/>
      <c r="M23" s="116"/>
      <c r="N23" s="66"/>
      <c r="O23" s="9"/>
      <c r="P23" s="9"/>
      <c r="Q23" s="9"/>
      <c r="R23" s="9"/>
      <c r="S23" s="9"/>
      <c r="T23" s="9"/>
      <c r="U23" s="9"/>
      <c r="V23" s="9"/>
      <c r="W23" s="9"/>
    </row>
    <row r="24">
      <c r="A24" s="3">
        <f>ROW()</f>
      </c>
      <c r="B24" s="63" t="str">
        <v>UAT测试</v>
      </c>
      <c r="C24" s="9"/>
      <c r="D24" s="9"/>
      <c r="E24" s="9"/>
      <c r="F24" s="9"/>
      <c r="G24" s="63"/>
      <c r="H24" s="66"/>
      <c r="I24" s="9"/>
      <c r="J24" s="9"/>
      <c r="K24" s="116"/>
      <c r="L24" s="9"/>
      <c r="M24" s="116"/>
      <c r="N24" s="66"/>
      <c r="O24" s="9"/>
      <c r="P24" s="9"/>
      <c r="Q24" s="9"/>
      <c r="R24" s="9"/>
      <c r="S24" s="9"/>
      <c r="T24" s="9"/>
      <c r="U24" s="9"/>
      <c r="V24" s="9"/>
      <c r="W24" s="9"/>
    </row>
    <row r="25">
      <c r="A25" s="3">
        <f>ROW()</f>
      </c>
      <c r="B25" s="63" t="str">
        <v>UAT测试</v>
      </c>
      <c r="C25" s="9"/>
      <c r="D25" s="9"/>
      <c r="E25" s="9"/>
      <c r="F25" s="9"/>
      <c r="G25" s="63"/>
      <c r="H25" s="66"/>
      <c r="I25" s="9"/>
      <c r="J25" s="9"/>
      <c r="K25" s="116"/>
      <c r="L25" s="9"/>
      <c r="M25" s="116"/>
      <c r="N25" s="66"/>
      <c r="O25" s="9"/>
      <c r="P25" s="9"/>
      <c r="Q25" s="9"/>
      <c r="R25" s="9"/>
      <c r="S25" s="9"/>
      <c r="T25" s="9"/>
      <c r="U25" s="9"/>
      <c r="V25" s="9"/>
      <c r="W25" s="9"/>
    </row>
    <row r="26">
      <c r="A26" s="3">
        <f>ROW()</f>
      </c>
      <c r="B26" s="63" t="str">
        <v>UAT测试</v>
      </c>
      <c r="C26" s="9"/>
      <c r="D26" s="9"/>
      <c r="E26" s="9"/>
      <c r="F26" s="9"/>
      <c r="G26" s="63"/>
      <c r="H26" s="66"/>
      <c r="I26" s="9"/>
      <c r="J26" s="9"/>
      <c r="K26" s="116"/>
      <c r="L26" s="9"/>
      <c r="M26" s="116"/>
      <c r="N26" s="66"/>
      <c r="O26" s="9"/>
      <c r="P26" s="9"/>
      <c r="Q26" s="9"/>
      <c r="R26" s="9"/>
      <c r="S26" s="9"/>
      <c r="T26" s="9"/>
      <c r="U26" s="9"/>
      <c r="V26" s="9"/>
      <c r="W26" s="9"/>
    </row>
    <row r="27">
      <c r="A27" s="3">
        <f>ROW()</f>
      </c>
      <c r="B27" s="63" t="str">
        <v>UAT测试</v>
      </c>
      <c r="C27" s="9"/>
      <c r="D27" s="9"/>
      <c r="E27" s="9"/>
      <c r="F27" s="9"/>
      <c r="G27" s="63"/>
      <c r="H27" s="66"/>
      <c r="I27" s="9"/>
      <c r="J27" s="9"/>
      <c r="K27" s="116"/>
      <c r="L27" s="9"/>
      <c r="M27" s="116"/>
      <c r="N27" s="66"/>
      <c r="O27" s="9"/>
      <c r="P27" s="9"/>
      <c r="Q27" s="9"/>
      <c r="R27" s="9"/>
      <c r="S27" s="9"/>
      <c r="T27" s="9"/>
      <c r="U27" s="9"/>
      <c r="V27" s="9"/>
      <c r="W27" s="9"/>
    </row>
    <row r="28">
      <c r="A28" s="3">
        <f>ROW()</f>
      </c>
      <c r="B28" s="63" t="str">
        <v>UAT测试</v>
      </c>
      <c r="C28" s="9"/>
      <c r="D28" s="9"/>
      <c r="E28" s="9"/>
      <c r="F28" s="9"/>
      <c r="G28" s="63"/>
      <c r="H28" s="66"/>
      <c r="I28" s="9"/>
      <c r="J28" s="9"/>
      <c r="K28" s="116"/>
      <c r="L28" s="9"/>
      <c r="M28" s="116"/>
      <c r="N28" s="66"/>
      <c r="O28" s="9"/>
      <c r="P28" s="9"/>
      <c r="Q28" s="9"/>
      <c r="R28" s="9"/>
      <c r="S28" s="9"/>
      <c r="T28" s="9"/>
      <c r="U28" s="9"/>
      <c r="V28" s="9"/>
      <c r="W28" s="9"/>
    </row>
    <row r="29">
      <c r="A29" s="3">
        <f>ROW()</f>
      </c>
      <c r="B29" s="63" t="str">
        <v>UAT测试</v>
      </c>
      <c r="C29" s="9"/>
      <c r="D29" s="9"/>
      <c r="E29" s="9"/>
      <c r="F29" s="9"/>
      <c r="G29" s="63"/>
      <c r="H29" s="66"/>
      <c r="I29" s="9"/>
      <c r="J29" s="9"/>
      <c r="K29" s="116"/>
      <c r="L29" s="9"/>
      <c r="M29" s="116"/>
      <c r="N29" s="66"/>
      <c r="O29" s="9"/>
      <c r="P29" s="9"/>
      <c r="Q29" s="9"/>
      <c r="R29" s="9"/>
      <c r="S29" s="9"/>
      <c r="T29" s="9"/>
      <c r="U29" s="9"/>
      <c r="V29" s="9"/>
      <c r="W29" s="9"/>
    </row>
    <row r="30">
      <c r="A30" s="3">
        <f>ROW()</f>
      </c>
      <c r="B30" s="63" t="str">
        <v>UAT测试</v>
      </c>
      <c r="C30" s="9"/>
      <c r="D30" s="9"/>
      <c r="E30" s="9"/>
      <c r="F30" s="9"/>
      <c r="G30" s="63"/>
      <c r="H30" s="66"/>
      <c r="I30" s="9"/>
      <c r="J30" s="9"/>
      <c r="K30" s="116"/>
      <c r="L30" s="9"/>
      <c r="M30" s="116"/>
      <c r="N30" s="66"/>
      <c r="O30" s="9"/>
      <c r="P30" s="9"/>
      <c r="Q30" s="9"/>
      <c r="R30" s="9"/>
      <c r="S30" s="9"/>
      <c r="T30" s="9"/>
      <c r="U30" s="9"/>
      <c r="V30" s="9"/>
      <c r="W30" s="9"/>
    </row>
    <row r="31">
      <c r="A31" s="3">
        <f>ROW()</f>
      </c>
      <c r="B31" s="63" t="str">
        <v>UAT测试</v>
      </c>
      <c r="C31" s="9"/>
      <c r="D31" s="9"/>
      <c r="E31" s="9"/>
      <c r="F31" s="9"/>
      <c r="G31" s="63"/>
      <c r="H31" s="66"/>
      <c r="I31" s="9"/>
      <c r="J31" s="9"/>
      <c r="K31" s="116"/>
      <c r="L31" s="9"/>
      <c r="M31" s="116"/>
      <c r="N31" s="66"/>
      <c r="O31" s="9"/>
      <c r="P31" s="9"/>
      <c r="Q31" s="9"/>
      <c r="R31" s="9"/>
      <c r="S31" s="9"/>
      <c r="T31" s="9"/>
      <c r="U31" s="9"/>
      <c r="V31" s="9"/>
      <c r="W31" s="9"/>
    </row>
    <row r="32">
      <c r="A32" s="3">
        <f>ROW()</f>
      </c>
      <c r="B32" s="63" t="str">
        <v>UAT测试</v>
      </c>
      <c r="C32" s="9"/>
      <c r="D32" s="9"/>
      <c r="E32" s="9"/>
      <c r="F32" s="9"/>
      <c r="G32" s="63"/>
      <c r="H32" s="66"/>
      <c r="I32" s="9"/>
      <c r="J32" s="9"/>
      <c r="K32" s="116"/>
      <c r="L32" s="9"/>
      <c r="M32" s="116"/>
      <c r="N32" s="66"/>
      <c r="O32" s="9"/>
      <c r="P32" s="9"/>
      <c r="Q32" s="9"/>
      <c r="R32" s="9"/>
      <c r="S32" s="9"/>
      <c r="T32" s="9"/>
      <c r="U32" s="9"/>
      <c r="V32" s="9"/>
      <c r="W32" s="9"/>
    </row>
    <row r="33">
      <c r="A33" s="3">
        <f>ROW()</f>
      </c>
      <c r="B33" s="63" t="str">
        <v>UAT测试</v>
      </c>
      <c r="C33" s="9"/>
      <c r="D33" s="9"/>
      <c r="E33" s="9"/>
      <c r="F33" s="9"/>
      <c r="G33" s="63"/>
      <c r="H33" s="66"/>
      <c r="I33" s="9"/>
      <c r="J33" s="9"/>
      <c r="K33" s="116"/>
      <c r="L33" s="9"/>
      <c r="M33" s="116"/>
      <c r="N33" s="66"/>
      <c r="O33" s="9"/>
      <c r="P33" s="9"/>
      <c r="Q33" s="9"/>
      <c r="R33" s="9"/>
      <c r="S33" s="9"/>
      <c r="T33" s="9"/>
      <c r="U33" s="9"/>
      <c r="V33" s="9"/>
      <c r="W33" s="9"/>
    </row>
    <row r="34">
      <c r="A34" s="3">
        <f>ROW()</f>
      </c>
      <c r="B34" s="63" t="str">
        <v>UAT测试</v>
      </c>
      <c r="C34" s="9"/>
      <c r="D34" s="9"/>
      <c r="E34" s="9"/>
      <c r="F34" s="9"/>
      <c r="G34" s="63"/>
      <c r="H34" s="66"/>
      <c r="I34" s="9"/>
      <c r="J34" s="9"/>
      <c r="K34" s="116"/>
      <c r="L34" s="9"/>
      <c r="M34" s="116"/>
      <c r="N34" s="66"/>
      <c r="O34" s="9"/>
      <c r="P34" s="9"/>
      <c r="Q34" s="9"/>
      <c r="R34" s="9"/>
      <c r="S34" s="9"/>
      <c r="T34" s="9"/>
      <c r="U34" s="9"/>
      <c r="V34" s="9"/>
      <c r="W34" s="9"/>
    </row>
    <row r="35">
      <c r="A35" s="3">
        <f>ROW()</f>
      </c>
      <c r="B35" s="63" t="str">
        <v>UAT测试</v>
      </c>
      <c r="C35" s="9"/>
      <c r="D35" s="9"/>
      <c r="E35" s="9"/>
      <c r="F35" s="9"/>
      <c r="G35" s="63"/>
      <c r="H35" s="66"/>
      <c r="I35" s="9"/>
      <c r="J35" s="9"/>
      <c r="K35" s="116"/>
      <c r="L35" s="9"/>
      <c r="M35" s="116"/>
      <c r="N35" s="66"/>
      <c r="O35" s="9"/>
      <c r="P35" s="9"/>
      <c r="Q35" s="9"/>
      <c r="R35" s="9"/>
      <c r="S35" s="9"/>
      <c r="T35" s="9"/>
      <c r="U35" s="9"/>
      <c r="V35" s="9"/>
      <c r="W35" s="9"/>
    </row>
    <row r="36">
      <c r="A36" s="3">
        <f>ROW()</f>
      </c>
      <c r="B36" s="63" t="str">
        <v>UAT测试</v>
      </c>
      <c r="C36" s="9"/>
      <c r="D36" s="9"/>
      <c r="E36" s="9"/>
      <c r="F36" s="9"/>
      <c r="G36" s="63"/>
      <c r="H36" s="66"/>
      <c r="I36" s="9"/>
      <c r="J36" s="9"/>
      <c r="K36" s="116"/>
      <c r="L36" s="9"/>
      <c r="M36" s="116"/>
      <c r="N36" s="66"/>
      <c r="O36" s="9"/>
      <c r="P36" s="9"/>
      <c r="Q36" s="9"/>
      <c r="R36" s="9"/>
      <c r="S36" s="9"/>
      <c r="T36" s="9"/>
      <c r="U36" s="9"/>
      <c r="V36" s="9"/>
      <c r="W36" s="9"/>
    </row>
    <row r="37">
      <c r="A37" s="3">
        <f>ROW()</f>
      </c>
      <c r="B37" s="63" t="str">
        <v>UAT测试</v>
      </c>
      <c r="C37" s="9"/>
      <c r="D37" s="9"/>
      <c r="E37" s="9"/>
      <c r="F37" s="9"/>
      <c r="G37" s="63"/>
      <c r="H37" s="66"/>
      <c r="I37" s="9"/>
      <c r="J37" s="9"/>
      <c r="K37" s="116"/>
      <c r="L37" s="9"/>
      <c r="M37" s="116"/>
      <c r="N37" s="66"/>
      <c r="O37" s="9"/>
      <c r="P37" s="9"/>
      <c r="Q37" s="9"/>
      <c r="R37" s="9"/>
      <c r="S37" s="9"/>
      <c r="T37" s="9"/>
      <c r="U37" s="9"/>
      <c r="V37" s="9"/>
      <c r="W37" s="9"/>
    </row>
    <row r="38">
      <c r="A38" s="3">
        <f>ROW()</f>
      </c>
      <c r="B38" s="63" t="str">
        <v>UAT测试</v>
      </c>
      <c r="C38" s="9"/>
      <c r="D38" s="9"/>
      <c r="E38" s="9"/>
      <c r="F38" s="9"/>
      <c r="G38" s="63"/>
      <c r="H38" s="66"/>
      <c r="I38" s="9"/>
      <c r="J38" s="9"/>
      <c r="K38" s="116"/>
      <c r="L38" s="9"/>
      <c r="M38" s="116"/>
      <c r="N38" s="66"/>
      <c r="O38" s="9"/>
      <c r="P38" s="9"/>
      <c r="Q38" s="9"/>
      <c r="R38" s="9"/>
      <c r="S38" s="9"/>
      <c r="T38" s="9"/>
      <c r="U38" s="9"/>
      <c r="V38" s="9"/>
      <c r="W38" s="9"/>
    </row>
    <row r="39">
      <c r="A39" s="3">
        <f>ROW()</f>
      </c>
      <c r="B39" s="63" t="str">
        <v>UAT测试</v>
      </c>
      <c r="C39" s="9"/>
      <c r="D39" s="9"/>
      <c r="E39" s="9"/>
      <c r="F39" s="9"/>
      <c r="G39" s="63"/>
      <c r="H39" s="66"/>
      <c r="I39" s="9"/>
      <c r="J39" s="9"/>
      <c r="K39" s="116"/>
      <c r="L39" s="9"/>
      <c r="M39" s="116"/>
      <c r="N39" s="66"/>
      <c r="O39" s="9"/>
      <c r="P39" s="9"/>
      <c r="Q39" s="9"/>
      <c r="R39" s="9"/>
      <c r="S39" s="9"/>
      <c r="T39" s="9"/>
      <c r="U39" s="9"/>
      <c r="V39" s="9"/>
      <c r="W39" s="9"/>
    </row>
    <row r="40">
      <c r="A40" s="3">
        <f>ROW()</f>
      </c>
      <c r="B40" s="63" t="str">
        <v>UAT测试</v>
      </c>
      <c r="C40" s="9"/>
      <c r="D40" s="9"/>
      <c r="E40" s="9"/>
      <c r="F40" s="9"/>
      <c r="G40" s="63"/>
      <c r="H40" s="66"/>
      <c r="I40" s="9"/>
      <c r="J40" s="9"/>
      <c r="K40" s="116"/>
      <c r="L40" s="9"/>
      <c r="M40" s="116"/>
      <c r="N40" s="66"/>
      <c r="O40" s="9"/>
      <c r="P40" s="9"/>
      <c r="Q40" s="9"/>
      <c r="R40" s="9"/>
      <c r="S40" s="9"/>
      <c r="T40" s="9"/>
      <c r="U40" s="9"/>
      <c r="V40" s="9"/>
      <c r="W40" s="9"/>
    </row>
    <row r="41">
      <c r="A41" s="3">
        <f>ROW()</f>
      </c>
      <c r="B41" s="63" t="str">
        <v>UAT测试</v>
      </c>
      <c r="C41" s="9"/>
      <c r="D41" s="9"/>
      <c r="E41" s="9"/>
      <c r="F41" s="9"/>
      <c r="G41" s="63"/>
      <c r="H41" s="66"/>
      <c r="I41" s="9"/>
      <c r="J41" s="9"/>
      <c r="K41" s="116"/>
      <c r="L41" s="9"/>
      <c r="M41" s="116"/>
      <c r="N41" s="66"/>
      <c r="O41" s="9"/>
      <c r="P41" s="9"/>
      <c r="Q41" s="9"/>
      <c r="R41" s="9"/>
      <c r="S41" s="9"/>
      <c r="T41" s="9"/>
      <c r="U41" s="9"/>
      <c r="V41" s="9"/>
      <c r="W41" s="9"/>
    </row>
    <row r="42">
      <c r="A42" s="3">
        <f>ROW()</f>
      </c>
      <c r="B42" s="63" t="str">
        <v>UAT测试</v>
      </c>
      <c r="C42" s="9"/>
      <c r="D42" s="9"/>
      <c r="E42" s="9"/>
      <c r="F42" s="9"/>
      <c r="G42" s="63"/>
      <c r="H42" s="66"/>
      <c r="I42" s="9"/>
      <c r="J42" s="9"/>
      <c r="K42" s="116"/>
      <c r="L42" s="9"/>
      <c r="M42" s="116"/>
      <c r="N42" s="66"/>
      <c r="O42" s="9"/>
      <c r="P42" s="9"/>
      <c r="Q42" s="9"/>
      <c r="R42" s="9"/>
      <c r="S42" s="9"/>
      <c r="T42" s="9"/>
      <c r="U42" s="9"/>
      <c r="V42" s="9"/>
      <c r="W42" s="9"/>
    </row>
    <row r="43">
      <c r="A43" s="3">
        <f>ROW()</f>
      </c>
      <c r="B43" s="63" t="str">
        <v>UAT测试</v>
      </c>
      <c r="C43" s="9"/>
      <c r="D43" s="9"/>
      <c r="E43" s="9"/>
      <c r="F43" s="9"/>
      <c r="G43" s="63"/>
      <c r="H43" s="66"/>
      <c r="I43" s="9"/>
      <c r="J43" s="9"/>
      <c r="K43" s="116"/>
      <c r="L43" s="9"/>
      <c r="M43" s="116"/>
      <c r="N43" s="66"/>
      <c r="O43" s="9"/>
      <c r="P43" s="9"/>
      <c r="Q43" s="9"/>
      <c r="R43" s="9"/>
      <c r="S43" s="9"/>
      <c r="T43" s="9"/>
      <c r="U43" s="9"/>
      <c r="V43" s="9"/>
      <c r="W43" s="9"/>
    </row>
    <row r="44">
      <c r="A44" s="3">
        <f>ROW()</f>
      </c>
      <c r="B44" s="63" t="str">
        <v>UAT测试</v>
      </c>
      <c r="C44" s="9"/>
      <c r="D44" s="9"/>
      <c r="E44" s="9"/>
      <c r="F44" s="9"/>
      <c r="G44" s="63"/>
      <c r="H44" s="66"/>
      <c r="I44" s="9"/>
      <c r="J44" s="9"/>
      <c r="K44" s="116"/>
      <c r="L44" s="9"/>
      <c r="M44" s="116"/>
      <c r="N44" s="66"/>
      <c r="O44" s="9"/>
      <c r="P44" s="9"/>
      <c r="Q44" s="9"/>
      <c r="R44" s="9"/>
      <c r="S44" s="9"/>
      <c r="T44" s="9"/>
      <c r="U44" s="9"/>
      <c r="V44" s="9"/>
      <c r="W44" s="9"/>
    </row>
    <row r="45">
      <c r="A45" s="3">
        <f>ROW()</f>
      </c>
      <c r="B45" s="63" t="str">
        <v>UAT测试</v>
      </c>
      <c r="C45" s="9"/>
      <c r="D45" s="9"/>
      <c r="E45" s="9"/>
      <c r="F45" s="9"/>
      <c r="G45" s="63"/>
      <c r="H45" s="66"/>
      <c r="I45" s="9"/>
      <c r="J45" s="9"/>
      <c r="K45" s="116"/>
      <c r="L45" s="9"/>
      <c r="M45" s="116"/>
      <c r="N45" s="66"/>
      <c r="O45" s="9"/>
      <c r="P45" s="9"/>
      <c r="Q45" s="9"/>
      <c r="R45" s="9"/>
      <c r="S45" s="9"/>
      <c r="T45" s="9"/>
      <c r="U45" s="9"/>
      <c r="V45" s="9"/>
      <c r="W45" s="9"/>
    </row>
    <row r="46">
      <c r="A46" s="3">
        <f>ROW()</f>
      </c>
      <c r="B46" s="63" t="str">
        <v>UAT测试</v>
      </c>
      <c r="C46" s="9"/>
      <c r="D46" s="9"/>
      <c r="E46" s="9"/>
      <c r="F46" s="9"/>
      <c r="G46" s="63"/>
      <c r="H46" s="66"/>
      <c r="I46" s="9"/>
      <c r="J46" s="9"/>
      <c r="K46" s="116"/>
      <c r="L46" s="9"/>
      <c r="M46" s="116"/>
      <c r="N46" s="66"/>
      <c r="O46" s="9"/>
      <c r="P46" s="9"/>
      <c r="Q46" s="9"/>
      <c r="R46" s="9"/>
      <c r="S46" s="9"/>
      <c r="T46" s="9"/>
      <c r="U46" s="9"/>
      <c r="V46" s="9"/>
      <c r="W46" s="9"/>
    </row>
    <row r="47">
      <c r="A47" s="3">
        <f>ROW()</f>
      </c>
      <c r="B47" s="63" t="str">
        <v>UAT测试</v>
      </c>
      <c r="C47" s="9"/>
      <c r="D47" s="9"/>
      <c r="E47" s="9"/>
      <c r="F47" s="9"/>
      <c r="G47" s="63"/>
      <c r="H47" s="66"/>
      <c r="I47" s="9"/>
      <c r="J47" s="9"/>
      <c r="K47" s="116"/>
      <c r="L47" s="9"/>
      <c r="M47" s="116"/>
      <c r="N47" s="66"/>
      <c r="O47" s="9"/>
      <c r="P47" s="9"/>
      <c r="Q47" s="9"/>
      <c r="R47" s="9"/>
      <c r="S47" s="9"/>
      <c r="T47" s="9"/>
      <c r="U47" s="9"/>
      <c r="V47" s="9"/>
      <c r="W47" s="9"/>
    </row>
    <row r="48">
      <c r="A48" s="3">
        <f>ROW()</f>
      </c>
      <c r="B48" s="63" t="str">
        <v>UAT测试</v>
      </c>
      <c r="C48" s="9"/>
      <c r="D48" s="9"/>
      <c r="E48" s="9"/>
      <c r="F48" s="9"/>
      <c r="G48" s="63"/>
      <c r="H48" s="66"/>
      <c r="I48" s="9"/>
      <c r="J48" s="9"/>
      <c r="K48" s="116"/>
      <c r="L48" s="9"/>
      <c r="M48" s="116"/>
      <c r="N48" s="66"/>
      <c r="O48" s="9"/>
      <c r="P48" s="9"/>
      <c r="Q48" s="9"/>
      <c r="R48" s="9"/>
      <c r="S48" s="9"/>
      <c r="T48" s="9"/>
      <c r="U48" s="9"/>
      <c r="V48" s="9"/>
      <c r="W48" s="9"/>
    </row>
    <row r="49">
      <c r="A49" s="3">
        <f>ROW()</f>
      </c>
      <c r="B49" s="63" t="str">
        <v>UAT测试</v>
      </c>
      <c r="C49" s="9"/>
      <c r="D49" s="9"/>
      <c r="E49" s="9"/>
      <c r="F49" s="9"/>
      <c r="G49" s="63"/>
      <c r="H49" s="66"/>
      <c r="I49" s="9"/>
      <c r="J49" s="9"/>
      <c r="K49" s="116"/>
      <c r="L49" s="9"/>
      <c r="M49" s="116"/>
      <c r="N49" s="66"/>
      <c r="O49" s="9"/>
      <c r="P49" s="9"/>
      <c r="Q49" s="9"/>
      <c r="R49" s="9"/>
      <c r="S49" s="9"/>
      <c r="T49" s="9"/>
      <c r="U49" s="9"/>
      <c r="V49" s="9"/>
      <c r="W49" s="9"/>
    </row>
    <row r="50">
      <c r="A50" s="3">
        <f>ROW()</f>
      </c>
      <c r="B50" s="63" t="str">
        <v>UAT测试</v>
      </c>
      <c r="C50" s="9"/>
      <c r="D50" s="9"/>
      <c r="E50" s="9"/>
      <c r="F50" s="9"/>
      <c r="G50" s="63"/>
      <c r="H50" s="66"/>
      <c r="I50" s="9"/>
      <c r="J50" s="9"/>
      <c r="K50" s="116"/>
      <c r="L50" s="9"/>
      <c r="M50" s="116"/>
      <c r="N50" s="66"/>
      <c r="O50" s="9"/>
      <c r="P50" s="9"/>
      <c r="Q50" s="9"/>
      <c r="R50" s="9"/>
      <c r="S50" s="9"/>
      <c r="T50" s="9"/>
      <c r="U50" s="9"/>
      <c r="V50" s="9"/>
      <c r="W50" s="9"/>
    </row>
    <row r="51">
      <c r="A51" s="3">
        <f>ROW()</f>
      </c>
      <c r="B51" s="63" t="str">
        <v>UAT测试</v>
      </c>
      <c r="C51" s="9"/>
      <c r="D51" s="9"/>
      <c r="E51" s="9"/>
      <c r="F51" s="9"/>
      <c r="G51" s="63"/>
      <c r="H51" s="66"/>
      <c r="I51" s="9"/>
      <c r="J51" s="9"/>
      <c r="K51" s="116"/>
      <c r="L51" s="9"/>
      <c r="M51" s="116"/>
      <c r="N51" s="66"/>
      <c r="O51" s="9"/>
      <c r="P51" s="9"/>
      <c r="Q51" s="9"/>
      <c r="R51" s="9"/>
      <c r="S51" s="9"/>
      <c r="T51" s="9"/>
      <c r="U51" s="9"/>
      <c r="V51" s="9"/>
      <c r="W51" s="9"/>
    </row>
    <row r="52">
      <c r="A52" s="3">
        <f>ROW()</f>
      </c>
      <c r="B52" s="63" t="str">
        <v>UAT测试</v>
      </c>
      <c r="C52" s="9"/>
      <c r="D52" s="9"/>
      <c r="E52" s="9"/>
      <c r="F52" s="9"/>
      <c r="G52" s="63"/>
      <c r="H52" s="66"/>
      <c r="I52" s="9"/>
      <c r="J52" s="9"/>
      <c r="K52" s="116"/>
      <c r="L52" s="9"/>
      <c r="M52" s="116"/>
      <c r="N52" s="66"/>
      <c r="O52" s="9"/>
      <c r="P52" s="9"/>
      <c r="Q52" s="9"/>
      <c r="R52" s="9"/>
      <c r="S52" s="9"/>
      <c r="T52" s="9"/>
      <c r="U52" s="9"/>
      <c r="V52" s="9"/>
      <c r="W52" s="9"/>
    </row>
    <row r="53">
      <c r="A53" s="3">
        <f>ROW()</f>
      </c>
      <c r="B53" s="63" t="str">
        <v>UAT测试</v>
      </c>
      <c r="C53" s="9"/>
      <c r="D53" s="9"/>
      <c r="E53" s="9"/>
      <c r="F53" s="9"/>
      <c r="G53" s="63"/>
      <c r="H53" s="66"/>
      <c r="I53" s="9"/>
      <c r="J53" s="9"/>
      <c r="K53" s="116"/>
      <c r="L53" s="9"/>
      <c r="M53" s="116"/>
      <c r="N53" s="66"/>
      <c r="O53" s="9"/>
      <c r="P53" s="9"/>
      <c r="Q53" s="9"/>
      <c r="R53" s="9"/>
      <c r="S53" s="9"/>
      <c r="T53" s="9"/>
      <c r="U53" s="9"/>
      <c r="V53" s="9"/>
      <c r="W53" s="9"/>
    </row>
    <row r="54">
      <c r="A54" s="3">
        <f>ROW()</f>
      </c>
      <c r="B54" s="63" t="str">
        <v>UAT测试</v>
      </c>
      <c r="C54" s="9"/>
      <c r="D54" s="9"/>
      <c r="E54" s="9"/>
      <c r="F54" s="9"/>
      <c r="G54" s="63"/>
      <c r="H54" s="66"/>
      <c r="I54" s="9"/>
      <c r="J54" s="9"/>
      <c r="K54" s="116"/>
      <c r="L54" s="9"/>
      <c r="M54" s="116"/>
      <c r="N54" s="66"/>
      <c r="O54" s="9"/>
      <c r="P54" s="9"/>
      <c r="Q54" s="9"/>
      <c r="R54" s="9"/>
      <c r="S54" s="9"/>
      <c r="T54" s="9"/>
      <c r="U54" s="9"/>
      <c r="V54" s="9"/>
      <c r="W54" s="9"/>
    </row>
    <row r="55">
      <c r="A55" s="3">
        <f>ROW()</f>
      </c>
      <c r="B55" s="63" t="str">
        <v>UAT测试</v>
      </c>
      <c r="C55" s="9"/>
      <c r="D55" s="9"/>
      <c r="E55" s="9"/>
      <c r="F55" s="9"/>
      <c r="G55" s="63"/>
      <c r="H55" s="66"/>
      <c r="I55" s="9"/>
      <c r="J55" s="9"/>
      <c r="K55" s="116"/>
      <c r="L55" s="9"/>
      <c r="M55" s="116"/>
      <c r="N55" s="66"/>
      <c r="O55" s="9"/>
      <c r="P55" s="9"/>
      <c r="Q55" s="9"/>
      <c r="R55" s="9"/>
      <c r="S55" s="9"/>
      <c r="T55" s="9"/>
      <c r="U55" s="9"/>
      <c r="V55" s="9"/>
      <c r="W55" s="9"/>
    </row>
    <row r="56">
      <c r="A56" s="3">
        <f>ROW()</f>
      </c>
      <c r="B56" s="63" t="str">
        <v>UAT测试</v>
      </c>
      <c r="C56" s="9"/>
      <c r="D56" s="9"/>
      <c r="E56" s="9"/>
      <c r="F56" s="9"/>
      <c r="G56" s="63"/>
      <c r="H56" s="66"/>
      <c r="I56" s="9"/>
      <c r="J56" s="9"/>
      <c r="K56" s="116"/>
      <c r="L56" s="9"/>
      <c r="M56" s="116"/>
      <c r="N56" s="66"/>
      <c r="O56" s="9"/>
      <c r="P56" s="9"/>
      <c r="Q56" s="9"/>
      <c r="R56" s="9"/>
      <c r="S56" s="9"/>
      <c r="T56" s="9"/>
      <c r="U56" s="9"/>
      <c r="V56" s="9"/>
      <c r="W56" s="9"/>
    </row>
    <row r="57">
      <c r="A57" s="3">
        <f>ROW()</f>
      </c>
      <c r="B57" s="63" t="str">
        <v>UAT测试</v>
      </c>
      <c r="C57" s="9"/>
      <c r="D57" s="9"/>
      <c r="E57" s="9"/>
      <c r="F57" s="9"/>
      <c r="G57" s="63"/>
      <c r="H57" s="66"/>
      <c r="I57" s="9"/>
      <c r="J57" s="9"/>
      <c r="K57" s="116"/>
      <c r="L57" s="9"/>
      <c r="M57" s="116"/>
      <c r="N57" s="66"/>
      <c r="O57" s="9"/>
      <c r="P57" s="9"/>
      <c r="Q57" s="9"/>
      <c r="R57" s="9"/>
      <c r="S57" s="9"/>
      <c r="T57" s="9"/>
      <c r="U57" s="9"/>
      <c r="V57" s="9"/>
      <c r="W57" s="9"/>
    </row>
    <row r="58">
      <c r="A58" s="3">
        <f>ROW()</f>
      </c>
      <c r="B58" s="63" t="str">
        <v>UAT测试</v>
      </c>
      <c r="C58" s="9"/>
      <c r="D58" s="9"/>
      <c r="E58" s="9"/>
      <c r="F58" s="9"/>
      <c r="G58" s="63"/>
      <c r="H58" s="66"/>
      <c r="I58" s="9"/>
      <c r="J58" s="9"/>
      <c r="K58" s="116"/>
      <c r="L58" s="9"/>
      <c r="M58" s="116"/>
      <c r="N58" s="66"/>
      <c r="O58" s="9"/>
      <c r="P58" s="9"/>
      <c r="Q58" s="9"/>
      <c r="R58" s="9"/>
      <c r="S58" s="9"/>
      <c r="T58" s="9"/>
      <c r="U58" s="9"/>
      <c r="V58" s="9"/>
      <c r="W58" s="9"/>
    </row>
    <row r="59">
      <c r="A59" s="3">
        <f>ROW()</f>
      </c>
      <c r="B59" s="63" t="str">
        <v>UAT测试</v>
      </c>
      <c r="C59" s="9"/>
      <c r="D59" s="9"/>
      <c r="E59" s="9"/>
      <c r="F59" s="9"/>
      <c r="G59" s="63"/>
      <c r="H59" s="66"/>
      <c r="I59" s="9"/>
      <c r="J59" s="9"/>
      <c r="K59" s="116"/>
      <c r="L59" s="9"/>
      <c r="M59" s="116"/>
      <c r="N59" s="66"/>
      <c r="O59" s="9"/>
      <c r="P59" s="9"/>
      <c r="Q59" s="9"/>
      <c r="R59" s="9"/>
      <c r="S59" s="9"/>
      <c r="T59" s="9"/>
      <c r="U59" s="9"/>
      <c r="V59" s="9"/>
      <c r="W59" s="9"/>
    </row>
    <row r="60">
      <c r="A60" s="3">
        <f>ROW()</f>
      </c>
      <c r="B60" s="63" t="str">
        <v>UAT测试</v>
      </c>
      <c r="C60" s="9"/>
      <c r="D60" s="9"/>
      <c r="E60" s="9"/>
      <c r="F60" s="9"/>
      <c r="G60" s="63"/>
      <c r="H60" s="66"/>
      <c r="I60" s="9"/>
      <c r="J60" s="9"/>
      <c r="K60" s="116"/>
      <c r="L60" s="9"/>
      <c r="M60" s="116"/>
      <c r="N60" s="66"/>
      <c r="O60" s="9"/>
      <c r="P60" s="9"/>
      <c r="Q60" s="9"/>
      <c r="R60" s="9"/>
      <c r="S60" s="9"/>
      <c r="T60" s="9"/>
      <c r="U60" s="9"/>
      <c r="V60" s="9"/>
      <c r="W60" s="9"/>
    </row>
    <row r="61">
      <c r="A61" s="3">
        <f>ROW()</f>
      </c>
      <c r="B61" s="63" t="str">
        <v>UAT测试</v>
      </c>
      <c r="C61" s="9"/>
      <c r="D61" s="9"/>
      <c r="E61" s="9"/>
      <c r="F61" s="9"/>
      <c r="G61" s="63"/>
      <c r="H61" s="66"/>
      <c r="I61" s="9"/>
      <c r="J61" s="9"/>
      <c r="K61" s="116"/>
      <c r="L61" s="9"/>
      <c r="M61" s="116"/>
      <c r="N61" s="66"/>
      <c r="O61" s="9"/>
      <c r="P61" s="9"/>
      <c r="Q61" s="9"/>
      <c r="R61" s="9"/>
      <c r="S61" s="9"/>
      <c r="T61" s="9"/>
      <c r="U61" s="9"/>
      <c r="V61" s="9"/>
      <c r="W61" s="9"/>
    </row>
    <row r="62">
      <c r="A62" s="3">
        <f>ROW()</f>
      </c>
      <c r="B62" s="63" t="str">
        <v>UAT测试</v>
      </c>
      <c r="C62" s="9"/>
      <c r="D62" s="9"/>
      <c r="E62" s="9"/>
      <c r="F62" s="9"/>
      <c r="G62" s="63"/>
      <c r="H62" s="66"/>
      <c r="I62" s="9"/>
      <c r="J62" s="9"/>
      <c r="K62" s="116"/>
      <c r="L62" s="9"/>
      <c r="M62" s="116"/>
      <c r="N62" s="66"/>
      <c r="O62" s="9"/>
      <c r="P62" s="9"/>
      <c r="Q62" s="9"/>
      <c r="R62" s="9"/>
      <c r="S62" s="9"/>
      <c r="T62" s="9"/>
      <c r="U62" s="9"/>
      <c r="V62" s="9"/>
      <c r="W62" s="9"/>
    </row>
    <row r="63">
      <c r="A63" s="3">
        <f>ROW()</f>
      </c>
      <c r="B63" s="63" t="str">
        <v>UAT测试</v>
      </c>
      <c r="C63" s="9"/>
      <c r="D63" s="9"/>
      <c r="E63" s="9"/>
      <c r="F63" s="9"/>
      <c r="G63" s="63"/>
      <c r="H63" s="66"/>
      <c r="I63" s="9"/>
      <c r="J63" s="9"/>
      <c r="K63" s="116"/>
      <c r="L63" s="9"/>
      <c r="M63" s="116"/>
      <c r="N63" s="66"/>
      <c r="O63" s="9"/>
      <c r="P63" s="9"/>
      <c r="Q63" s="9"/>
      <c r="R63" s="9"/>
      <c r="S63" s="9"/>
      <c r="T63" s="9"/>
      <c r="U63" s="9"/>
      <c r="V63" s="9"/>
      <c r="W63" s="9"/>
    </row>
    <row r="64">
      <c r="A64" s="3">
        <f>ROW()</f>
      </c>
      <c r="B64" s="63" t="str">
        <v>UAT测试</v>
      </c>
      <c r="C64" s="9"/>
      <c r="D64" s="9"/>
      <c r="E64" s="9"/>
      <c r="F64" s="9"/>
      <c r="G64" s="63"/>
      <c r="H64" s="66"/>
      <c r="I64" s="9"/>
      <c r="J64" s="9"/>
      <c r="K64" s="116"/>
      <c r="L64" s="9"/>
      <c r="M64" s="116"/>
      <c r="N64" s="66"/>
      <c r="O64" s="9"/>
      <c r="P64" s="9"/>
      <c r="Q64" s="9"/>
      <c r="R64" s="9"/>
      <c r="S64" s="9"/>
      <c r="T64" s="9"/>
      <c r="U64" s="9"/>
      <c r="V64" s="9"/>
      <c r="W64" s="9"/>
    </row>
    <row r="65">
      <c r="A65" s="3">
        <f>ROW()</f>
      </c>
      <c r="B65" s="63" t="str">
        <v>UAT测试</v>
      </c>
      <c r="C65" s="9"/>
      <c r="D65" s="9"/>
      <c r="E65" s="9"/>
      <c r="F65" s="9"/>
      <c r="G65" s="63"/>
      <c r="H65" s="66"/>
      <c r="I65" s="9"/>
      <c r="J65" s="9"/>
      <c r="K65" s="116"/>
      <c r="L65" s="9"/>
      <c r="M65" s="116"/>
      <c r="N65" s="66"/>
      <c r="O65" s="9"/>
      <c r="P65" s="9"/>
      <c r="Q65" s="9"/>
      <c r="R65" s="9"/>
      <c r="S65" s="9"/>
      <c r="T65" s="9"/>
      <c r="U65" s="9"/>
      <c r="V65" s="9"/>
      <c r="W65" s="9"/>
    </row>
    <row r="66">
      <c r="A66" s="3">
        <f>ROW()</f>
      </c>
      <c r="B66" s="63" t="str">
        <v>UAT测试</v>
      </c>
      <c r="C66" s="9"/>
      <c r="D66" s="9"/>
      <c r="E66" s="9"/>
      <c r="F66" s="9"/>
      <c r="G66" s="63"/>
      <c r="H66" s="66"/>
      <c r="I66" s="9"/>
      <c r="J66" s="9"/>
      <c r="K66" s="116"/>
      <c r="L66" s="9"/>
      <c r="M66" s="116"/>
      <c r="N66" s="66"/>
      <c r="O66" s="9"/>
      <c r="P66" s="9"/>
      <c r="Q66" s="9"/>
      <c r="R66" s="9"/>
      <c r="S66" s="9"/>
      <c r="T66" s="9"/>
      <c r="U66" s="9"/>
      <c r="V66" s="9"/>
      <c r="W66" s="9"/>
    </row>
    <row r="67">
      <c r="A67" s="3">
        <f>ROW()</f>
      </c>
      <c r="B67" s="63" t="str">
        <v>UAT测试</v>
      </c>
      <c r="C67" s="9"/>
      <c r="D67" s="9"/>
      <c r="E67" s="9"/>
      <c r="F67" s="9"/>
      <c r="G67" s="63"/>
      <c r="H67" s="66"/>
      <c r="I67" s="9"/>
      <c r="J67" s="9"/>
      <c r="K67" s="116"/>
      <c r="L67" s="9"/>
      <c r="M67" s="116"/>
      <c r="N67" s="66"/>
      <c r="O67" s="9"/>
      <c r="P67" s="9"/>
      <c r="Q67" s="9"/>
      <c r="R67" s="9"/>
      <c r="S67" s="9"/>
      <c r="T67" s="9"/>
      <c r="U67" s="9"/>
      <c r="V67" s="9"/>
      <c r="W67" s="9"/>
    </row>
    <row r="68">
      <c r="A68" s="3">
        <f>ROW()</f>
      </c>
      <c r="B68" s="63" t="str">
        <v>UAT测试</v>
      </c>
      <c r="C68" s="9"/>
      <c r="D68" s="9"/>
      <c r="E68" s="9"/>
      <c r="F68" s="9"/>
      <c r="G68" s="63"/>
      <c r="H68" s="66"/>
      <c r="I68" s="9"/>
      <c r="J68" s="9"/>
      <c r="K68" s="116"/>
      <c r="L68" s="9"/>
      <c r="M68" s="116"/>
      <c r="N68" s="66"/>
      <c r="O68" s="9"/>
      <c r="P68" s="9"/>
      <c r="Q68" s="9"/>
      <c r="R68" s="9"/>
      <c r="S68" s="9"/>
      <c r="T68" s="9"/>
      <c r="U68" s="9"/>
      <c r="V68" s="9"/>
      <c r="W68" s="9"/>
    </row>
    <row r="69">
      <c r="A69" s="3">
        <f>ROW()</f>
      </c>
      <c r="B69" s="63" t="str">
        <v>UAT测试</v>
      </c>
      <c r="C69" s="9"/>
      <c r="D69" s="9"/>
      <c r="E69" s="9"/>
      <c r="F69" s="9"/>
      <c r="G69" s="63"/>
      <c r="H69" s="66"/>
      <c r="I69" s="9"/>
      <c r="J69" s="9"/>
      <c r="K69" s="116"/>
      <c r="L69" s="9"/>
      <c r="M69" s="116"/>
      <c r="N69" s="66"/>
      <c r="O69" s="9"/>
      <c r="P69" s="9"/>
      <c r="Q69" s="9"/>
      <c r="R69" s="9"/>
      <c r="S69" s="9"/>
      <c r="T69" s="9"/>
      <c r="U69" s="9"/>
      <c r="V69" s="9"/>
      <c r="W69" s="9"/>
    </row>
    <row r="70">
      <c r="A70" s="3">
        <f>ROW()</f>
      </c>
      <c r="B70" s="63" t="str">
        <v>UAT测试</v>
      </c>
      <c r="C70" s="9"/>
      <c r="D70" s="9"/>
      <c r="E70" s="9"/>
      <c r="F70" s="9"/>
      <c r="G70" s="63"/>
      <c r="H70" s="66"/>
      <c r="I70" s="9"/>
      <c r="J70" s="9"/>
      <c r="K70" s="116"/>
      <c r="L70" s="9"/>
      <c r="M70" s="116"/>
      <c r="N70" s="66"/>
      <c r="O70" s="9"/>
      <c r="P70" s="9"/>
      <c r="Q70" s="9"/>
      <c r="R70" s="9"/>
      <c r="S70" s="9"/>
      <c r="T70" s="9"/>
      <c r="U70" s="9"/>
      <c r="V70" s="9"/>
      <c r="W70" s="9"/>
    </row>
    <row r="71">
      <c r="A71" s="3">
        <f>ROW()</f>
      </c>
      <c r="B71" s="63" t="str">
        <v>UAT测试</v>
      </c>
      <c r="C71" s="9"/>
      <c r="D71" s="9"/>
      <c r="E71" s="9"/>
      <c r="F71" s="9"/>
      <c r="G71" s="63"/>
      <c r="H71" s="66"/>
      <c r="I71" s="9"/>
      <c r="J71" s="9"/>
      <c r="K71" s="116"/>
      <c r="L71" s="9"/>
      <c r="M71" s="116"/>
      <c r="N71" s="66"/>
      <c r="O71" s="9"/>
      <c r="P71" s="9"/>
      <c r="Q71" s="9"/>
      <c r="R71" s="9"/>
      <c r="S71" s="9"/>
      <c r="T71" s="9"/>
      <c r="U71" s="9"/>
      <c r="V71" s="9"/>
      <c r="W71" s="9"/>
    </row>
    <row r="72">
      <c r="A72" s="3">
        <f>ROW()</f>
      </c>
      <c r="B72" s="63" t="str">
        <v>UAT测试</v>
      </c>
      <c r="C72" s="9"/>
      <c r="D72" s="9"/>
      <c r="E72" s="9"/>
      <c r="F72" s="9"/>
      <c r="G72" s="63"/>
      <c r="H72" s="66"/>
      <c r="I72" s="9"/>
      <c r="J72" s="9"/>
      <c r="K72" s="116"/>
      <c r="L72" s="9"/>
      <c r="M72" s="116"/>
      <c r="N72" s="66"/>
      <c r="O72" s="9"/>
      <c r="P72" s="9"/>
      <c r="Q72" s="9"/>
      <c r="R72" s="9"/>
      <c r="S72" s="9"/>
      <c r="T72" s="9"/>
      <c r="U72" s="9"/>
      <c r="V72" s="9"/>
      <c r="W72" s="9"/>
    </row>
    <row r="73">
      <c r="A73" s="3">
        <f>ROW()</f>
      </c>
      <c r="B73" s="63" t="str">
        <v>UAT测试</v>
      </c>
      <c r="C73" s="9"/>
      <c r="D73" s="9"/>
      <c r="E73" s="9"/>
      <c r="F73" s="9"/>
      <c r="G73" s="63"/>
      <c r="H73" s="66"/>
      <c r="I73" s="9"/>
      <c r="J73" s="9"/>
      <c r="K73" s="116"/>
      <c r="L73" s="9"/>
      <c r="M73" s="116"/>
      <c r="N73" s="66"/>
      <c r="O73" s="9"/>
      <c r="P73" s="9"/>
      <c r="Q73" s="9"/>
      <c r="R73" s="9"/>
      <c r="S73" s="9"/>
      <c r="T73" s="9"/>
      <c r="U73" s="9"/>
      <c r="V73" s="9"/>
      <c r="W73" s="9"/>
    </row>
    <row r="74">
      <c r="A74" s="3">
        <f>ROW()</f>
      </c>
      <c r="B74" s="63" t="str">
        <v>UAT测试</v>
      </c>
      <c r="C74" s="9"/>
      <c r="D74" s="9"/>
      <c r="E74" s="9"/>
      <c r="F74" s="9"/>
      <c r="G74" s="63"/>
      <c r="H74" s="66"/>
      <c r="I74" s="9"/>
      <c r="J74" s="9"/>
      <c r="K74" s="116"/>
      <c r="L74" s="9"/>
      <c r="M74" s="116"/>
      <c r="N74" s="66"/>
      <c r="O74" s="9"/>
      <c r="P74" s="9"/>
      <c r="Q74" s="9"/>
      <c r="R74" s="9"/>
      <c r="S74" s="9"/>
      <c r="T74" s="9"/>
      <c r="U74" s="9"/>
      <c r="V74" s="9"/>
      <c r="W74" s="9"/>
    </row>
    <row r="75">
      <c r="A75" s="3">
        <f>ROW()</f>
      </c>
      <c r="B75" s="63" t="str">
        <v>UAT测试</v>
      </c>
      <c r="C75" s="9"/>
      <c r="D75" s="9"/>
      <c r="E75" s="9"/>
      <c r="F75" s="9"/>
      <c r="G75" s="63"/>
      <c r="H75" s="66"/>
      <c r="I75" s="9"/>
      <c r="J75" s="9"/>
      <c r="K75" s="116"/>
      <c r="L75" s="9"/>
      <c r="M75" s="116"/>
      <c r="N75" s="66"/>
      <c r="O75" s="9"/>
      <c r="P75" s="9"/>
      <c r="Q75" s="9"/>
      <c r="R75" s="9"/>
      <c r="S75" s="9"/>
      <c r="T75" s="9"/>
      <c r="U75" s="9"/>
      <c r="V75" s="9"/>
      <c r="W75" s="9"/>
    </row>
    <row r="76">
      <c r="A76" s="3">
        <f>ROW()</f>
      </c>
      <c r="B76" s="63" t="str">
        <v>UAT测试</v>
      </c>
      <c r="C76" s="9"/>
      <c r="D76" s="9"/>
      <c r="E76" s="9"/>
      <c r="F76" s="9"/>
      <c r="G76" s="63"/>
      <c r="H76" s="66"/>
      <c r="I76" s="9"/>
      <c r="J76" s="9"/>
      <c r="K76" s="116"/>
      <c r="L76" s="9"/>
      <c r="M76" s="116"/>
      <c r="N76" s="66"/>
      <c r="O76" s="9"/>
      <c r="P76" s="9"/>
      <c r="Q76" s="9"/>
      <c r="R76" s="9"/>
      <c r="S76" s="9"/>
      <c r="T76" s="9"/>
      <c r="U76" s="9"/>
      <c r="V76" s="9"/>
      <c r="W76" s="9"/>
    </row>
    <row r="77">
      <c r="A77" s="3">
        <f>ROW()</f>
      </c>
      <c r="B77" s="63" t="str">
        <v>UAT测试</v>
      </c>
      <c r="C77" s="9"/>
      <c r="D77" s="9"/>
      <c r="E77" s="9"/>
      <c r="F77" s="9"/>
      <c r="G77" s="63"/>
      <c r="H77" s="66"/>
      <c r="I77" s="9"/>
      <c r="J77" s="9"/>
      <c r="K77" s="116"/>
      <c r="L77" s="9"/>
      <c r="M77" s="116"/>
      <c r="N77" s="66"/>
      <c r="O77" s="9"/>
      <c r="P77" s="9"/>
      <c r="Q77" s="9"/>
      <c r="R77" s="9"/>
      <c r="S77" s="9"/>
      <c r="T77" s="9"/>
      <c r="U77" s="9"/>
      <c r="V77" s="9"/>
      <c r="W77" s="9"/>
    </row>
    <row r="78">
      <c r="A78" s="3">
        <f>ROW()</f>
      </c>
      <c r="B78" s="63" t="str">
        <v>UAT测试</v>
      </c>
      <c r="C78" s="9"/>
      <c r="D78" s="9"/>
      <c r="E78" s="9"/>
      <c r="F78" s="9"/>
      <c r="G78" s="63"/>
      <c r="H78" s="66"/>
      <c r="I78" s="9"/>
      <c r="J78" s="9"/>
      <c r="K78" s="116"/>
      <c r="L78" s="9"/>
      <c r="M78" s="116"/>
      <c r="N78" s="66"/>
      <c r="O78" s="9"/>
      <c r="P78" s="9"/>
      <c r="Q78" s="9"/>
      <c r="R78" s="9"/>
      <c r="S78" s="9"/>
      <c r="T78" s="9"/>
      <c r="U78" s="9"/>
      <c r="V78" s="9"/>
      <c r="W78" s="9"/>
    </row>
    <row r="79">
      <c r="A79" s="3">
        <f>ROW()</f>
      </c>
      <c r="B79" s="63" t="str">
        <v>UAT测试</v>
      </c>
      <c r="C79" s="9"/>
      <c r="D79" s="9"/>
      <c r="E79" s="9"/>
      <c r="F79" s="9"/>
      <c r="G79" s="63"/>
      <c r="H79" s="66"/>
      <c r="I79" s="9"/>
      <c r="J79" s="9"/>
      <c r="K79" s="116"/>
      <c r="L79" s="9"/>
      <c r="M79" s="116"/>
      <c r="N79" s="66"/>
      <c r="O79" s="9"/>
      <c r="P79" s="9"/>
      <c r="Q79" s="9"/>
      <c r="R79" s="9"/>
      <c r="S79" s="9"/>
      <c r="T79" s="9"/>
      <c r="U79" s="9"/>
      <c r="V79" s="9"/>
      <c r="W79" s="9"/>
    </row>
    <row r="80">
      <c r="A80" s="3">
        <f>ROW()</f>
      </c>
      <c r="B80" s="63" t="str">
        <v>UAT测试</v>
      </c>
      <c r="C80" s="9"/>
      <c r="D80" s="9"/>
      <c r="E80" s="9"/>
      <c r="F80" s="9"/>
      <c r="G80" s="63"/>
      <c r="H80" s="66"/>
      <c r="I80" s="9"/>
      <c r="J80" s="9"/>
      <c r="K80" s="116"/>
      <c r="L80" s="9"/>
      <c r="M80" s="116"/>
      <c r="N80" s="66"/>
      <c r="O80" s="9"/>
      <c r="P80" s="9"/>
      <c r="Q80" s="9"/>
      <c r="R80" s="9"/>
      <c r="S80" s="9"/>
      <c r="T80" s="9"/>
      <c r="U80" s="9"/>
      <c r="V80" s="9"/>
      <c r="W80" s="9"/>
    </row>
    <row r="81">
      <c r="A81" s="3">
        <f>ROW()</f>
      </c>
      <c r="B81" s="63" t="str">
        <v>UAT测试</v>
      </c>
      <c r="C81" s="9"/>
      <c r="D81" s="9"/>
      <c r="E81" s="9"/>
      <c r="F81" s="9"/>
      <c r="G81" s="63"/>
      <c r="H81" s="66"/>
      <c r="I81" s="9"/>
      <c r="J81" s="9"/>
      <c r="K81" s="116"/>
      <c r="L81" s="9"/>
      <c r="M81" s="116"/>
      <c r="N81" s="66"/>
      <c r="O81" s="9"/>
      <c r="P81" s="9"/>
      <c r="Q81" s="9"/>
      <c r="R81" s="9"/>
      <c r="S81" s="9"/>
      <c r="T81" s="9"/>
      <c r="U81" s="9"/>
      <c r="V81" s="9"/>
      <c r="W81" s="9"/>
    </row>
    <row r="82">
      <c r="A82" s="3">
        <f>ROW()</f>
      </c>
      <c r="B82" s="63" t="str">
        <v>UAT测试</v>
      </c>
      <c r="C82" s="9"/>
      <c r="D82" s="9"/>
      <c r="E82" s="9"/>
      <c r="F82" s="9"/>
      <c r="G82" s="63"/>
      <c r="H82" s="66"/>
      <c r="I82" s="9"/>
      <c r="J82" s="9"/>
      <c r="K82" s="116"/>
      <c r="L82" s="9"/>
      <c r="M82" s="116"/>
      <c r="N82" s="66"/>
      <c r="O82" s="9"/>
      <c r="P82" s="9"/>
      <c r="Q82" s="9"/>
      <c r="R82" s="9"/>
      <c r="S82" s="9"/>
      <c r="T82" s="9"/>
      <c r="U82" s="9"/>
      <c r="V82" s="9"/>
      <c r="W82" s="9"/>
    </row>
    <row r="83">
      <c r="A83" s="3">
        <f>ROW()</f>
      </c>
      <c r="B83" s="63" t="str">
        <v>UAT测试</v>
      </c>
      <c r="C83" s="9"/>
      <c r="D83" s="9"/>
      <c r="E83" s="9"/>
      <c r="F83" s="9"/>
      <c r="G83" s="63"/>
      <c r="H83" s="66"/>
      <c r="I83" s="9"/>
      <c r="J83" s="9"/>
      <c r="K83" s="116"/>
      <c r="L83" s="9"/>
      <c r="M83" s="116"/>
      <c r="N83" s="66"/>
      <c r="O83" s="9"/>
      <c r="P83" s="9"/>
      <c r="Q83" s="9"/>
      <c r="R83" s="9"/>
      <c r="S83" s="9"/>
      <c r="T83" s="9"/>
      <c r="U83" s="9"/>
      <c r="V83" s="9"/>
      <c r="W83" s="9"/>
    </row>
    <row r="84">
      <c r="A84" s="3">
        <f>ROW()</f>
      </c>
      <c r="B84" s="63" t="str">
        <v>UAT测试</v>
      </c>
      <c r="C84" s="9"/>
      <c r="D84" s="9"/>
      <c r="E84" s="9"/>
      <c r="F84" s="9"/>
      <c r="G84" s="63"/>
      <c r="H84" s="66"/>
      <c r="I84" s="9"/>
      <c r="J84" s="9"/>
      <c r="K84" s="116"/>
      <c r="L84" s="9"/>
      <c r="M84" s="116"/>
      <c r="N84" s="66"/>
      <c r="O84" s="9"/>
      <c r="P84" s="9"/>
      <c r="Q84" s="9"/>
      <c r="R84" s="9"/>
      <c r="S84" s="9"/>
      <c r="T84" s="9"/>
      <c r="U84" s="9"/>
      <c r="V84" s="9"/>
      <c r="W84" s="9"/>
    </row>
    <row r="85">
      <c r="A85" s="3">
        <f>ROW()</f>
      </c>
      <c r="B85" s="63" t="str">
        <v>UAT测试</v>
      </c>
      <c r="C85" s="9"/>
      <c r="D85" s="9"/>
      <c r="E85" s="9"/>
      <c r="F85" s="9"/>
      <c r="G85" s="63"/>
      <c r="H85" s="66"/>
      <c r="I85" s="9"/>
      <c r="J85" s="9"/>
      <c r="K85" s="116"/>
      <c r="L85" s="9"/>
      <c r="M85" s="116"/>
      <c r="N85" s="66"/>
      <c r="O85" s="9"/>
      <c r="P85" s="9"/>
      <c r="Q85" s="9"/>
      <c r="R85" s="9"/>
      <c r="S85" s="9"/>
      <c r="T85" s="9"/>
      <c r="U85" s="9"/>
      <c r="V85" s="9"/>
      <c r="W85" s="9"/>
    </row>
    <row r="86">
      <c r="A86" s="3">
        <f>ROW()</f>
      </c>
      <c r="B86" s="63" t="str">
        <v>UAT测试</v>
      </c>
      <c r="C86" s="9"/>
      <c r="D86" s="9"/>
      <c r="E86" s="9"/>
      <c r="F86" s="9"/>
      <c r="G86" s="63"/>
      <c r="H86" s="66"/>
      <c r="I86" s="9"/>
      <c r="J86" s="9"/>
      <c r="K86" s="116"/>
      <c r="L86" s="9"/>
      <c r="M86" s="116"/>
      <c r="N86" s="66"/>
      <c r="O86" s="9"/>
      <c r="P86" s="9"/>
      <c r="Q86" s="9"/>
      <c r="R86" s="9"/>
      <c r="S86" s="9"/>
      <c r="T86" s="9"/>
      <c r="U86" s="9"/>
      <c r="V86" s="9"/>
      <c r="W86" s="9"/>
    </row>
    <row r="87">
      <c r="A87" s="3">
        <f>ROW()</f>
      </c>
      <c r="B87" s="63" t="str">
        <v>UAT测试</v>
      </c>
      <c r="C87" s="9"/>
      <c r="D87" s="9"/>
      <c r="E87" s="9"/>
      <c r="F87" s="9"/>
      <c r="G87" s="63"/>
      <c r="H87" s="66"/>
      <c r="I87" s="9"/>
      <c r="J87" s="9"/>
      <c r="K87" s="116"/>
      <c r="L87" s="9"/>
      <c r="M87" s="116"/>
      <c r="N87" s="66"/>
      <c r="O87" s="9"/>
      <c r="P87" s="9"/>
      <c r="Q87" s="9"/>
      <c r="R87" s="9"/>
      <c r="S87" s="9"/>
      <c r="T87" s="9"/>
      <c r="U87" s="9"/>
      <c r="V87" s="9"/>
      <c r="W87" s="9"/>
    </row>
    <row r="88">
      <c r="A88" s="3">
        <f>ROW()</f>
      </c>
      <c r="B88" s="63" t="str">
        <v>UAT测试</v>
      </c>
      <c r="C88" s="9"/>
      <c r="D88" s="9"/>
      <c r="E88" s="9"/>
      <c r="F88" s="9"/>
      <c r="G88" s="63"/>
      <c r="H88" s="66"/>
      <c r="I88" s="9"/>
      <c r="J88" s="9"/>
      <c r="K88" s="116"/>
      <c r="L88" s="9"/>
      <c r="M88" s="116"/>
      <c r="N88" s="66"/>
      <c r="O88" s="9"/>
      <c r="P88" s="9"/>
      <c r="Q88" s="9"/>
      <c r="R88" s="9"/>
      <c r="S88" s="9"/>
      <c r="T88" s="9"/>
      <c r="U88" s="9"/>
      <c r="V88" s="9"/>
      <c r="W88" s="9"/>
    </row>
    <row r="89">
      <c r="A89" s="3">
        <f>ROW()</f>
      </c>
      <c r="B89" s="63" t="str">
        <v>UAT测试</v>
      </c>
      <c r="C89" s="9"/>
      <c r="D89" s="9"/>
      <c r="E89" s="9"/>
      <c r="F89" s="9"/>
      <c r="G89" s="63"/>
      <c r="H89" s="66"/>
      <c r="I89" s="9"/>
      <c r="J89" s="9"/>
      <c r="K89" s="116"/>
      <c r="L89" s="9"/>
      <c r="M89" s="116"/>
      <c r="N89" s="66"/>
      <c r="O89" s="9"/>
      <c r="P89" s="9"/>
      <c r="Q89" s="9"/>
      <c r="R89" s="9"/>
      <c r="S89" s="9"/>
      <c r="T89" s="9"/>
      <c r="U89" s="9"/>
      <c r="V89" s="9"/>
      <c r="W89" s="9"/>
    </row>
    <row r="90">
      <c r="A90" s="3">
        <f>ROW()</f>
      </c>
      <c r="B90" s="63" t="str">
        <v>UAT测试</v>
      </c>
      <c r="C90" s="9"/>
      <c r="D90" s="9"/>
      <c r="E90" s="9"/>
      <c r="F90" s="9"/>
      <c r="G90" s="63"/>
      <c r="H90" s="66"/>
      <c r="I90" s="9"/>
      <c r="J90" s="9"/>
      <c r="K90" s="116"/>
      <c r="L90" s="9"/>
      <c r="M90" s="116"/>
      <c r="N90" s="66"/>
      <c r="O90" s="9"/>
      <c r="P90" s="9"/>
      <c r="Q90" s="9"/>
      <c r="R90" s="9"/>
      <c r="S90" s="9"/>
      <c r="T90" s="9"/>
      <c r="U90" s="9"/>
      <c r="V90" s="9"/>
      <c r="W90" s="9"/>
    </row>
    <row r="91">
      <c r="A91" s="3">
        <f>ROW()</f>
      </c>
      <c r="B91" s="63" t="str">
        <v>UAT测试</v>
      </c>
      <c r="C91" s="9"/>
      <c r="D91" s="9"/>
      <c r="E91" s="9"/>
      <c r="F91" s="9"/>
      <c r="G91" s="63"/>
      <c r="H91" s="66"/>
      <c r="I91" s="9"/>
      <c r="J91" s="9"/>
      <c r="K91" s="116"/>
      <c r="L91" s="9"/>
      <c r="M91" s="116"/>
      <c r="N91" s="66"/>
      <c r="O91" s="9"/>
      <c r="P91" s="9"/>
      <c r="Q91" s="9"/>
      <c r="R91" s="9"/>
      <c r="S91" s="9"/>
      <c r="T91" s="9"/>
      <c r="U91" s="9"/>
      <c r="V91" s="9"/>
      <c r="W91" s="9"/>
    </row>
    <row r="92">
      <c r="A92" s="3">
        <f>ROW()</f>
      </c>
      <c r="B92" s="63" t="str">
        <v>UAT测试</v>
      </c>
      <c r="C92" s="9"/>
      <c r="D92" s="9"/>
      <c r="E92" s="9"/>
      <c r="F92" s="9"/>
      <c r="G92" s="63"/>
      <c r="H92" s="66"/>
      <c r="I92" s="9"/>
      <c r="J92" s="9"/>
      <c r="K92" s="116"/>
      <c r="L92" s="9"/>
      <c r="M92" s="116"/>
      <c r="N92" s="66"/>
      <c r="O92" s="9"/>
      <c r="P92" s="9"/>
      <c r="Q92" s="9"/>
      <c r="R92" s="9"/>
      <c r="S92" s="9"/>
      <c r="T92" s="9"/>
      <c r="U92" s="9"/>
      <c r="V92" s="9"/>
      <c r="W92" s="9"/>
    </row>
    <row r="93">
      <c r="A93" s="3">
        <f>ROW()</f>
      </c>
      <c r="B93" s="63" t="str">
        <v>UAT测试</v>
      </c>
      <c r="C93" s="9"/>
      <c r="D93" s="9"/>
      <c r="E93" s="9"/>
      <c r="F93" s="9"/>
      <c r="G93" s="63"/>
      <c r="H93" s="66"/>
      <c r="I93" s="9"/>
      <c r="J93" s="9"/>
      <c r="K93" s="116"/>
      <c r="L93" s="9"/>
      <c r="M93" s="116"/>
      <c r="N93" s="66"/>
      <c r="O93" s="9"/>
      <c r="P93" s="9"/>
      <c r="Q93" s="9"/>
      <c r="R93" s="9"/>
      <c r="S93" s="9"/>
      <c r="T93" s="9"/>
      <c r="U93" s="9"/>
      <c r="V93" s="9"/>
      <c r="W93" s="9"/>
    </row>
    <row r="94">
      <c r="A94" s="3">
        <f>ROW()</f>
      </c>
      <c r="B94" s="63" t="str">
        <v>UAT测试</v>
      </c>
      <c r="C94" s="9"/>
      <c r="D94" s="9"/>
      <c r="E94" s="9"/>
      <c r="F94" s="9"/>
      <c r="G94" s="63"/>
      <c r="H94" s="66"/>
      <c r="I94" s="9"/>
      <c r="J94" s="9"/>
      <c r="K94" s="116"/>
      <c r="L94" s="9"/>
      <c r="M94" s="116"/>
      <c r="N94" s="66"/>
      <c r="O94" s="9"/>
      <c r="P94" s="9"/>
      <c r="Q94" s="9"/>
      <c r="R94" s="9"/>
      <c r="S94" s="9"/>
      <c r="T94" s="9"/>
      <c r="U94" s="9"/>
      <c r="V94" s="9"/>
      <c r="W94" s="9"/>
    </row>
    <row r="95">
      <c r="A95" s="3">
        <f>ROW()</f>
      </c>
      <c r="B95" s="63" t="str">
        <v>UAT测试</v>
      </c>
      <c r="C95" s="9"/>
      <c r="D95" s="9"/>
      <c r="E95" s="9"/>
      <c r="F95" s="9"/>
      <c r="G95" s="63"/>
      <c r="H95" s="66"/>
      <c r="I95" s="9"/>
      <c r="J95" s="9"/>
      <c r="K95" s="116"/>
      <c r="L95" s="9"/>
      <c r="M95" s="116"/>
      <c r="N95" s="66"/>
      <c r="O95" s="9"/>
      <c r="P95" s="9"/>
      <c r="Q95" s="9"/>
      <c r="R95" s="9"/>
      <c r="S95" s="9"/>
      <c r="T95" s="9"/>
      <c r="U95" s="9"/>
      <c r="V95" s="9"/>
      <c r="W95" s="9"/>
    </row>
    <row r="96">
      <c r="A96" s="3">
        <f>ROW()</f>
      </c>
      <c r="B96" s="63" t="str">
        <v>UAT测试</v>
      </c>
      <c r="C96" s="9"/>
      <c r="D96" s="9"/>
      <c r="E96" s="9"/>
      <c r="F96" s="9"/>
      <c r="G96" s="63"/>
      <c r="H96" s="66"/>
      <c r="I96" s="9"/>
      <c r="J96" s="9"/>
      <c r="K96" s="116"/>
      <c r="L96" s="9"/>
      <c r="M96" s="116"/>
      <c r="N96" s="66"/>
      <c r="O96" s="9"/>
      <c r="P96" s="9"/>
      <c r="Q96" s="9"/>
      <c r="R96" s="9"/>
      <c r="S96" s="9"/>
      <c r="T96" s="9"/>
      <c r="U96" s="9"/>
      <c r="V96" s="9"/>
      <c r="W96" s="9"/>
    </row>
    <row r="97">
      <c r="A97" s="3">
        <f>ROW()</f>
      </c>
      <c r="B97" s="63" t="str">
        <v>UAT测试</v>
      </c>
      <c r="C97" s="9"/>
      <c r="D97" s="9"/>
      <c r="E97" s="9"/>
      <c r="F97" s="9"/>
      <c r="G97" s="63"/>
      <c r="H97" s="66"/>
      <c r="I97" s="9"/>
      <c r="J97" s="9"/>
      <c r="K97" s="116"/>
      <c r="L97" s="9"/>
      <c r="M97" s="116"/>
      <c r="N97" s="66"/>
      <c r="O97" s="9"/>
      <c r="P97" s="9"/>
      <c r="Q97" s="9"/>
      <c r="R97" s="9"/>
      <c r="S97" s="9"/>
      <c r="T97" s="9"/>
      <c r="U97" s="9"/>
      <c r="V97" s="9"/>
      <c r="W97" s="9"/>
    </row>
    <row r="98">
      <c r="A98" s="3">
        <f>ROW()</f>
      </c>
      <c r="B98" s="63" t="str">
        <v>UAT测试</v>
      </c>
      <c r="C98" s="9"/>
      <c r="D98" s="9"/>
      <c r="E98" s="9"/>
      <c r="F98" s="9"/>
      <c r="G98" s="63"/>
      <c r="H98" s="66"/>
      <c r="I98" s="9"/>
      <c r="J98" s="9"/>
      <c r="K98" s="116"/>
      <c r="L98" s="9"/>
      <c r="M98" s="116"/>
      <c r="N98" s="66"/>
      <c r="O98" s="9"/>
      <c r="P98" s="9"/>
      <c r="Q98" s="9"/>
      <c r="R98" s="9"/>
      <c r="S98" s="9"/>
      <c r="T98" s="9"/>
      <c r="U98" s="9"/>
      <c r="V98" s="9"/>
      <c r="W98" s="9"/>
    </row>
    <row r="99">
      <c r="A99" s="3">
        <f>ROW()</f>
      </c>
      <c r="B99" s="63" t="str">
        <v>UAT测试</v>
      </c>
      <c r="C99" s="9"/>
      <c r="D99" s="9"/>
      <c r="E99" s="9"/>
      <c r="F99" s="9"/>
      <c r="G99" s="63"/>
      <c r="H99" s="66"/>
      <c r="I99" s="9"/>
      <c r="J99" s="9"/>
      <c r="K99" s="116"/>
      <c r="L99" s="9"/>
      <c r="M99" s="116"/>
      <c r="N99" s="66"/>
      <c r="O99" s="9"/>
      <c r="P99" s="9"/>
      <c r="Q99" s="9"/>
      <c r="R99" s="9"/>
      <c r="S99" s="9"/>
      <c r="T99" s="9"/>
      <c r="U99" s="9"/>
      <c r="V99" s="9"/>
      <c r="W99" s="9"/>
    </row>
    <row r="100">
      <c r="A100" s="3">
        <f>ROW()</f>
      </c>
      <c r="B100" s="63" t="str">
        <v>UAT测试</v>
      </c>
      <c r="C100" s="9"/>
      <c r="D100" s="9"/>
      <c r="E100" s="9"/>
      <c r="F100" s="9"/>
      <c r="G100" s="63"/>
      <c r="H100" s="66"/>
      <c r="I100" s="9"/>
      <c r="J100" s="9"/>
      <c r="K100" s="116"/>
      <c r="L100" s="9"/>
      <c r="M100" s="116"/>
      <c r="N100" s="66"/>
      <c r="O100" s="9"/>
      <c r="P100" s="9"/>
      <c r="Q100" s="9"/>
      <c r="R100" s="9"/>
      <c r="S100" s="9"/>
      <c r="T100" s="9"/>
      <c r="U100" s="9"/>
      <c r="V100" s="9"/>
      <c r="W100" s="9"/>
    </row>
    <row r="101">
      <c r="A101" s="3">
        <f>ROW()</f>
      </c>
      <c r="B101" s="63" t="str">
        <v>UAT测试</v>
      </c>
      <c r="C101" s="9"/>
      <c r="D101" s="9"/>
      <c r="E101" s="9"/>
      <c r="F101" s="9"/>
      <c r="G101" s="63"/>
      <c r="H101" s="66"/>
      <c r="I101" s="9"/>
      <c r="J101" s="9"/>
      <c r="K101" s="116"/>
      <c r="L101" s="9"/>
      <c r="M101" s="116"/>
      <c r="N101" s="66"/>
      <c r="O101" s="9"/>
      <c r="P101" s="9"/>
      <c r="Q101" s="9"/>
      <c r="R101" s="9"/>
      <c r="S101" s="9"/>
      <c r="T101" s="9"/>
      <c r="U101" s="9"/>
      <c r="V101" s="9"/>
      <c r="W101" s="9"/>
    </row>
    <row r="102">
      <c r="A102" s="3">
        <f>ROW()</f>
      </c>
      <c r="B102" s="63" t="str">
        <v>UAT测试</v>
      </c>
      <c r="C102" s="9"/>
      <c r="D102" s="9"/>
      <c r="E102" s="9"/>
      <c r="F102" s="9"/>
      <c r="G102" s="63"/>
      <c r="H102" s="66"/>
      <c r="I102" s="9"/>
      <c r="J102" s="9"/>
      <c r="K102" s="116"/>
      <c r="L102" s="9"/>
      <c r="M102" s="116"/>
      <c r="N102" s="66"/>
      <c r="O102" s="9"/>
      <c r="P102" s="9"/>
      <c r="Q102" s="9"/>
      <c r="R102" s="9"/>
      <c r="S102" s="9"/>
      <c r="T102" s="9"/>
      <c r="U102" s="9"/>
      <c r="V102" s="9"/>
      <c r="W102" s="9"/>
    </row>
    <row r="103">
      <c r="A103" s="3">
        <f>ROW()</f>
      </c>
      <c r="B103" s="63" t="str">
        <v>UAT测试</v>
      </c>
      <c r="C103" s="9"/>
      <c r="D103" s="9"/>
      <c r="E103" s="9"/>
      <c r="F103" s="9"/>
      <c r="G103" s="63"/>
      <c r="H103" s="66"/>
      <c r="I103" s="9"/>
      <c r="J103" s="9"/>
      <c r="K103" s="116"/>
      <c r="L103" s="9"/>
      <c r="M103" s="116"/>
      <c r="N103" s="66"/>
      <c r="O103" s="9"/>
      <c r="P103" s="9"/>
      <c r="Q103" s="9"/>
      <c r="R103" s="9"/>
      <c r="S103" s="9"/>
      <c r="T103" s="9"/>
      <c r="U103" s="9"/>
      <c r="V103" s="9"/>
      <c r="W103" s="9"/>
    </row>
    <row r="104">
      <c r="A104" s="3">
        <f>ROW()</f>
      </c>
      <c r="B104" s="63" t="str">
        <v>UAT测试</v>
      </c>
      <c r="C104" s="9"/>
      <c r="D104" s="9"/>
      <c r="E104" s="9"/>
      <c r="F104" s="9"/>
      <c r="G104" s="63"/>
      <c r="H104" s="66"/>
      <c r="I104" s="9"/>
      <c r="J104" s="9"/>
      <c r="K104" s="116"/>
      <c r="L104" s="9"/>
      <c r="M104" s="116"/>
      <c r="N104" s="66"/>
      <c r="O104" s="9"/>
      <c r="P104" s="9"/>
      <c r="Q104" s="9"/>
      <c r="R104" s="9"/>
      <c r="S104" s="9"/>
      <c r="T104" s="9"/>
      <c r="U104" s="9"/>
      <c r="V104" s="9"/>
      <c r="W104" s="9"/>
    </row>
    <row r="105">
      <c r="A105" s="3">
        <f>ROW()</f>
      </c>
      <c r="B105" s="63" t="str">
        <v>UAT测试</v>
      </c>
      <c r="C105" s="9"/>
      <c r="D105" s="9"/>
      <c r="E105" s="9"/>
      <c r="F105" s="9"/>
      <c r="G105" s="63"/>
      <c r="H105" s="66"/>
      <c r="I105" s="9"/>
      <c r="J105" s="9"/>
      <c r="K105" s="116"/>
      <c r="L105" s="9"/>
      <c r="M105" s="116"/>
      <c r="N105" s="66"/>
      <c r="O105" s="9"/>
      <c r="P105" s="9"/>
      <c r="Q105" s="9"/>
      <c r="R105" s="9"/>
      <c r="S105" s="9"/>
      <c r="T105" s="9"/>
      <c r="U105" s="9"/>
      <c r="V105" s="9"/>
      <c r="W105" s="9"/>
    </row>
    <row r="106">
      <c r="A106" s="3">
        <f>ROW()</f>
      </c>
      <c r="B106" s="63" t="str">
        <v>UAT测试</v>
      </c>
      <c r="C106" s="9"/>
      <c r="D106" s="9"/>
      <c r="E106" s="9"/>
      <c r="F106" s="9"/>
      <c r="G106" s="63"/>
      <c r="H106" s="66"/>
      <c r="I106" s="9"/>
      <c r="J106" s="9"/>
      <c r="K106" s="116"/>
      <c r="L106" s="9"/>
      <c r="M106" s="116"/>
      <c r="N106" s="66"/>
      <c r="O106" s="9"/>
      <c r="P106" s="9"/>
      <c r="Q106" s="9"/>
      <c r="R106" s="9"/>
      <c r="S106" s="9"/>
      <c r="T106" s="9"/>
      <c r="U106" s="9"/>
      <c r="V106" s="9"/>
      <c r="W106" s="9"/>
    </row>
    <row r="107">
      <c r="A107" s="3">
        <f>ROW()</f>
      </c>
      <c r="B107" s="63" t="str">
        <v>UAT测试</v>
      </c>
      <c r="C107" s="9"/>
      <c r="D107" s="9"/>
      <c r="E107" s="9"/>
      <c r="F107" s="9"/>
      <c r="G107" s="63"/>
      <c r="H107" s="66"/>
      <c r="I107" s="9"/>
      <c r="J107" s="9"/>
      <c r="K107" s="116"/>
      <c r="L107" s="9"/>
      <c r="M107" s="116"/>
      <c r="N107" s="66"/>
      <c r="O107" s="9"/>
      <c r="P107" s="9"/>
      <c r="Q107" s="9"/>
      <c r="R107" s="9"/>
      <c r="S107" s="9"/>
      <c r="T107" s="9"/>
      <c r="U107" s="9"/>
      <c r="V107" s="9"/>
      <c r="W107" s="9"/>
    </row>
    <row r="108">
      <c r="A108" s="3">
        <f>ROW()</f>
      </c>
      <c r="B108" s="63" t="str">
        <v>UAT测试</v>
      </c>
      <c r="C108" s="9"/>
      <c r="D108" s="9"/>
      <c r="E108" s="9"/>
      <c r="F108" s="9"/>
      <c r="G108" s="63"/>
      <c r="H108" s="66"/>
      <c r="I108" s="9"/>
      <c r="J108" s="9"/>
      <c r="K108" s="116"/>
      <c r="L108" s="9"/>
      <c r="M108" s="116"/>
      <c r="N108" s="66"/>
      <c r="O108" s="9"/>
      <c r="P108" s="9"/>
      <c r="Q108" s="9"/>
      <c r="R108" s="9"/>
      <c r="S108" s="9"/>
      <c r="T108" s="9"/>
      <c r="U108" s="9"/>
      <c r="V108" s="9"/>
      <c r="W108" s="9"/>
    </row>
    <row r="109">
      <c r="A109" s="3">
        <f>ROW()</f>
      </c>
      <c r="B109" s="63" t="str">
        <v>UAT测试</v>
      </c>
      <c r="C109" s="9"/>
      <c r="D109" s="9"/>
      <c r="E109" s="9"/>
      <c r="F109" s="9"/>
      <c r="G109" s="63"/>
      <c r="H109" s="66"/>
      <c r="I109" s="9"/>
      <c r="J109" s="9"/>
      <c r="K109" s="116"/>
      <c r="L109" s="9"/>
      <c r="M109" s="116"/>
      <c r="N109" s="66"/>
      <c r="O109" s="9"/>
      <c r="P109" s="9"/>
      <c r="Q109" s="9"/>
      <c r="R109" s="9"/>
      <c r="S109" s="9"/>
      <c r="T109" s="9"/>
      <c r="U109" s="9"/>
      <c r="V109" s="9"/>
      <c r="W109" s="9"/>
    </row>
    <row r="110">
      <c r="A110" s="3">
        <f>ROW()</f>
      </c>
      <c r="B110" s="63" t="str">
        <v>UAT测试</v>
      </c>
      <c r="C110" s="9"/>
      <c r="D110" s="9"/>
      <c r="E110" s="9"/>
      <c r="F110" s="9"/>
      <c r="G110" s="63"/>
      <c r="H110" s="66"/>
      <c r="I110" s="9"/>
      <c r="J110" s="9"/>
      <c r="K110" s="116"/>
      <c r="L110" s="9"/>
      <c r="M110" s="116"/>
      <c r="N110" s="66"/>
      <c r="O110" s="9"/>
      <c r="P110" s="9"/>
      <c r="Q110" s="9"/>
      <c r="R110" s="9"/>
      <c r="S110" s="9"/>
      <c r="T110" s="9"/>
      <c r="U110" s="9"/>
      <c r="V110" s="9"/>
      <c r="W110" s="9"/>
    </row>
    <row r="111">
      <c r="A111" s="3">
        <f>ROW()</f>
      </c>
      <c r="B111" s="63" t="str">
        <v>UAT测试</v>
      </c>
      <c r="C111" s="9"/>
      <c r="D111" s="9"/>
      <c r="E111" s="9"/>
      <c r="F111" s="9"/>
      <c r="G111" s="63"/>
      <c r="H111" s="66"/>
      <c r="I111" s="9"/>
      <c r="J111" s="9"/>
      <c r="K111" s="116"/>
      <c r="L111" s="9"/>
      <c r="M111" s="116"/>
      <c r="N111" s="66"/>
      <c r="O111" s="9"/>
      <c r="P111" s="9"/>
      <c r="Q111" s="9"/>
      <c r="R111" s="9"/>
      <c r="S111" s="9"/>
      <c r="T111" s="9"/>
      <c r="U111" s="9"/>
      <c r="V111" s="9"/>
      <c r="W111" s="9"/>
    </row>
    <row r="112">
      <c r="A112" s="3">
        <f>ROW()</f>
      </c>
      <c r="B112" s="63" t="str">
        <v>UAT测试</v>
      </c>
      <c r="C112" s="9"/>
      <c r="D112" s="9"/>
      <c r="E112" s="9"/>
      <c r="F112" s="9"/>
      <c r="G112" s="63"/>
      <c r="H112" s="66"/>
      <c r="I112" s="9"/>
      <c r="J112" s="9"/>
      <c r="K112" s="116"/>
      <c r="L112" s="9"/>
      <c r="M112" s="116"/>
      <c r="N112" s="66"/>
      <c r="O112" s="9"/>
      <c r="P112" s="9"/>
      <c r="Q112" s="9"/>
      <c r="R112" s="9"/>
      <c r="S112" s="9"/>
      <c r="T112" s="9"/>
      <c r="U112" s="9"/>
      <c r="V112" s="9"/>
      <c r="W112" s="9"/>
    </row>
    <row r="113">
      <c r="A113" s="3">
        <f>ROW()</f>
      </c>
      <c r="B113" s="63" t="str">
        <v>UAT测试</v>
      </c>
      <c r="C113" s="9"/>
      <c r="D113" s="9"/>
      <c r="E113" s="9"/>
      <c r="F113" s="9"/>
      <c r="G113" s="63"/>
      <c r="H113" s="66"/>
      <c r="I113" s="9"/>
      <c r="J113" s="9"/>
      <c r="K113" s="116"/>
      <c r="L113" s="9"/>
      <c r="M113" s="116"/>
      <c r="N113" s="66"/>
      <c r="O113" s="9"/>
      <c r="P113" s="9"/>
      <c r="Q113" s="9"/>
      <c r="R113" s="9"/>
      <c r="S113" s="9"/>
      <c r="T113" s="9"/>
      <c r="U113" s="9"/>
      <c r="V113" s="9"/>
      <c r="W113" s="9"/>
    </row>
    <row r="114">
      <c r="A114" s="3">
        <f>ROW()</f>
      </c>
      <c r="B114" s="63" t="str">
        <v>UAT测试</v>
      </c>
      <c r="C114" s="9"/>
      <c r="D114" s="9"/>
      <c r="E114" s="9"/>
      <c r="F114" s="9"/>
      <c r="G114" s="63"/>
      <c r="H114" s="66"/>
      <c r="I114" s="9"/>
      <c r="J114" s="9"/>
      <c r="K114" s="116"/>
      <c r="L114" s="9"/>
      <c r="M114" s="116"/>
      <c r="N114" s="66"/>
      <c r="O114" s="9"/>
      <c r="P114" s="9"/>
      <c r="Q114" s="9"/>
      <c r="R114" s="9"/>
      <c r="S114" s="9"/>
      <c r="T114" s="9"/>
      <c r="U114" s="9"/>
      <c r="V114" s="9"/>
      <c r="W114" s="9"/>
    </row>
    <row r="115">
      <c r="A115" s="3">
        <f>ROW()</f>
      </c>
      <c r="B115" s="63" t="str">
        <v>UAT测试</v>
      </c>
      <c r="C115" s="9"/>
      <c r="D115" s="9"/>
      <c r="E115" s="9"/>
      <c r="F115" s="9"/>
      <c r="G115" s="63"/>
      <c r="H115" s="66"/>
      <c r="I115" s="9"/>
      <c r="J115" s="9"/>
      <c r="K115" s="116"/>
      <c r="L115" s="9"/>
      <c r="M115" s="116"/>
      <c r="N115" s="66"/>
      <c r="O115" s="9"/>
      <c r="P115" s="9"/>
      <c r="Q115" s="9"/>
      <c r="R115" s="9"/>
      <c r="S115" s="9"/>
      <c r="T115" s="9"/>
      <c r="U115" s="9"/>
      <c r="V115" s="9"/>
      <c r="W115" s="9"/>
    </row>
    <row r="116">
      <c r="A116" s="3">
        <f>ROW()</f>
      </c>
      <c r="B116" s="63" t="str">
        <v>UAT测试</v>
      </c>
      <c r="C116" s="9"/>
      <c r="D116" s="9"/>
      <c r="E116" s="9"/>
      <c r="F116" s="9"/>
      <c r="G116" s="63"/>
      <c r="H116" s="66"/>
      <c r="I116" s="9"/>
      <c r="J116" s="9"/>
      <c r="K116" s="116"/>
      <c r="L116" s="9"/>
      <c r="M116" s="116"/>
      <c r="N116" s="66"/>
      <c r="O116" s="9"/>
      <c r="P116" s="9"/>
      <c r="Q116" s="9"/>
      <c r="R116" s="9"/>
      <c r="S116" s="9"/>
      <c r="T116" s="9"/>
      <c r="U116" s="9"/>
      <c r="V116" s="9"/>
      <c r="W116" s="9"/>
    </row>
    <row r="117">
      <c r="A117" s="3">
        <f>ROW()</f>
      </c>
      <c r="B117" s="63" t="str">
        <v>UAT测试</v>
      </c>
      <c r="C117" s="9"/>
      <c r="D117" s="9"/>
      <c r="E117" s="9"/>
      <c r="F117" s="9"/>
      <c r="G117" s="63"/>
      <c r="H117" s="66"/>
      <c r="I117" s="9"/>
      <c r="J117" s="9"/>
      <c r="K117" s="116"/>
      <c r="L117" s="9"/>
      <c r="M117" s="116"/>
      <c r="N117" s="66"/>
      <c r="O117" s="9"/>
      <c r="P117" s="9"/>
      <c r="Q117" s="9"/>
      <c r="R117" s="9"/>
      <c r="S117" s="9"/>
      <c r="T117" s="9"/>
      <c r="U117" s="9"/>
      <c r="V117" s="9"/>
      <c r="W117" s="9"/>
    </row>
    <row r="118">
      <c r="A118" s="3">
        <f>ROW()</f>
      </c>
      <c r="B118" s="63" t="str">
        <v>UAT测试</v>
      </c>
      <c r="C118" s="9"/>
      <c r="D118" s="9"/>
      <c r="E118" s="9"/>
      <c r="F118" s="9"/>
      <c r="G118" s="63"/>
      <c r="H118" s="66"/>
      <c r="I118" s="9"/>
      <c r="J118" s="9"/>
      <c r="K118" s="116"/>
      <c r="L118" s="9"/>
      <c r="M118" s="116"/>
      <c r="N118" s="66"/>
      <c r="O118" s="9"/>
      <c r="P118" s="9"/>
      <c r="Q118" s="9"/>
      <c r="R118" s="9"/>
      <c r="S118" s="9"/>
      <c r="T118" s="9"/>
      <c r="U118" s="9"/>
      <c r="V118" s="9"/>
      <c r="W118" s="9"/>
    </row>
    <row r="119">
      <c r="A119" s="3">
        <f>ROW()</f>
      </c>
      <c r="B119" s="63" t="str">
        <v>UAT测试</v>
      </c>
      <c r="C119" s="9"/>
      <c r="D119" s="9"/>
      <c r="E119" s="9"/>
      <c r="F119" s="9"/>
      <c r="G119" s="63"/>
      <c r="H119" s="66"/>
      <c r="I119" s="9"/>
      <c r="J119" s="9"/>
      <c r="K119" s="116"/>
      <c r="L119" s="9"/>
      <c r="M119" s="116"/>
      <c r="N119" s="66"/>
      <c r="O119" s="9"/>
      <c r="P119" s="9"/>
      <c r="Q119" s="9"/>
      <c r="R119" s="9"/>
      <c r="S119" s="9"/>
      <c r="T119" s="9"/>
      <c r="U119" s="9"/>
      <c r="V119" s="9"/>
      <c r="W119" s="9"/>
    </row>
    <row r="120">
      <c r="A120" s="3">
        <f>ROW()</f>
      </c>
      <c r="B120" s="63" t="str">
        <v>UAT测试</v>
      </c>
      <c r="C120" s="9"/>
      <c r="D120" s="9"/>
      <c r="E120" s="9"/>
      <c r="F120" s="9"/>
      <c r="G120" s="63"/>
      <c r="H120" s="66"/>
      <c r="I120" s="9"/>
      <c r="J120" s="9"/>
      <c r="K120" s="116"/>
      <c r="L120" s="9"/>
      <c r="M120" s="116"/>
      <c r="N120" s="66"/>
      <c r="O120" s="9"/>
      <c r="P120" s="9"/>
      <c r="Q120" s="9"/>
      <c r="R120" s="9"/>
      <c r="S120" s="9"/>
      <c r="T120" s="9"/>
      <c r="U120" s="9"/>
      <c r="V120" s="9"/>
      <c r="W120" s="9"/>
    </row>
    <row r="121">
      <c r="A121" s="3">
        <f>ROW()</f>
      </c>
      <c r="B121" s="63" t="str">
        <v>UAT测试</v>
      </c>
      <c r="C121" s="9"/>
      <c r="D121" s="9"/>
      <c r="E121" s="9"/>
      <c r="F121" s="9"/>
      <c r="G121" s="63"/>
      <c r="H121" s="66"/>
      <c r="I121" s="9"/>
      <c r="J121" s="9"/>
      <c r="K121" s="116"/>
      <c r="L121" s="9"/>
      <c r="M121" s="116"/>
      <c r="N121" s="66"/>
      <c r="O121" s="9"/>
      <c r="P121" s="9"/>
      <c r="Q121" s="9"/>
      <c r="R121" s="9"/>
      <c r="S121" s="9"/>
      <c r="T121" s="9"/>
      <c r="U121" s="9"/>
      <c r="V121" s="9"/>
      <c r="W121" s="9"/>
    </row>
    <row r="122">
      <c r="A122" s="3">
        <f>ROW()</f>
      </c>
      <c r="B122" s="63" t="str">
        <v>UAT测试</v>
      </c>
      <c r="C122" s="9"/>
      <c r="D122" s="9"/>
      <c r="E122" s="9"/>
      <c r="F122" s="9"/>
      <c r="G122" s="63"/>
      <c r="H122" s="66"/>
      <c r="I122" s="9"/>
      <c r="J122" s="9"/>
      <c r="K122" s="116"/>
      <c r="L122" s="9"/>
      <c r="M122" s="116"/>
      <c r="N122" s="66"/>
      <c r="O122" s="9"/>
      <c r="P122" s="9"/>
      <c r="Q122" s="9"/>
      <c r="R122" s="9"/>
      <c r="S122" s="9"/>
      <c r="T122" s="9"/>
      <c r="U122" s="9"/>
      <c r="V122" s="9"/>
      <c r="W122" s="9"/>
    </row>
    <row r="123">
      <c r="A123" s="3">
        <f>ROW()</f>
      </c>
      <c r="B123" s="63" t="str">
        <v>UAT测试</v>
      </c>
      <c r="C123" s="9"/>
      <c r="D123" s="9"/>
      <c r="E123" s="9"/>
      <c r="F123" s="9"/>
      <c r="G123" s="63"/>
      <c r="H123" s="66"/>
      <c r="I123" s="9"/>
      <c r="J123" s="9"/>
      <c r="K123" s="116"/>
      <c r="L123" s="9"/>
      <c r="M123" s="116"/>
      <c r="N123" s="66"/>
      <c r="O123" s="9"/>
      <c r="P123" s="9"/>
      <c r="Q123" s="9"/>
      <c r="R123" s="9"/>
      <c r="S123" s="9"/>
      <c r="T123" s="9"/>
      <c r="U123" s="9"/>
      <c r="V123" s="9"/>
      <c r="W123" s="9"/>
    </row>
    <row r="124">
      <c r="A124" s="3">
        <f>ROW()</f>
      </c>
      <c r="B124" s="63" t="str">
        <v>UAT测试</v>
      </c>
      <c r="C124" s="9"/>
      <c r="D124" s="9"/>
      <c r="E124" s="9"/>
      <c r="F124" s="9"/>
      <c r="G124" s="63"/>
      <c r="H124" s="66"/>
      <c r="I124" s="9"/>
      <c r="J124" s="9"/>
      <c r="K124" s="116"/>
      <c r="L124" s="9"/>
      <c r="M124" s="116"/>
      <c r="N124" s="66"/>
      <c r="O124" s="9"/>
      <c r="P124" s="9"/>
      <c r="Q124" s="9"/>
      <c r="R124" s="9"/>
      <c r="S124" s="9"/>
      <c r="T124" s="9"/>
      <c r="U124" s="9"/>
      <c r="V124" s="9"/>
      <c r="W124" s="9"/>
    </row>
    <row r="125">
      <c r="A125" s="3">
        <f>ROW()</f>
      </c>
      <c r="B125" s="63" t="str">
        <v>UAT测试</v>
      </c>
      <c r="C125" s="9"/>
      <c r="D125" s="9"/>
      <c r="E125" s="9"/>
      <c r="F125" s="9"/>
      <c r="G125" s="63"/>
      <c r="H125" s="66"/>
      <c r="I125" s="9"/>
      <c r="J125" s="9"/>
      <c r="K125" s="116"/>
      <c r="L125" s="9"/>
      <c r="M125" s="116"/>
      <c r="N125" s="66"/>
      <c r="O125" s="9"/>
      <c r="P125" s="9"/>
      <c r="Q125" s="9"/>
      <c r="R125" s="9"/>
      <c r="S125" s="9"/>
      <c r="T125" s="9"/>
      <c r="U125" s="9"/>
      <c r="V125" s="9"/>
      <c r="W125" s="9"/>
    </row>
    <row r="126">
      <c r="A126" s="3">
        <f>ROW()</f>
      </c>
      <c r="B126" s="63" t="str">
        <v>UAT测试</v>
      </c>
      <c r="C126" s="9"/>
      <c r="D126" s="9"/>
      <c r="E126" s="9"/>
      <c r="F126" s="9"/>
      <c r="G126" s="63"/>
      <c r="H126" s="66"/>
      <c r="I126" s="9"/>
      <c r="J126" s="9"/>
      <c r="K126" s="116"/>
      <c r="L126" s="9"/>
      <c r="M126" s="116"/>
      <c r="N126" s="66"/>
      <c r="O126" s="9"/>
      <c r="P126" s="9"/>
      <c r="Q126" s="9"/>
      <c r="R126" s="9"/>
      <c r="S126" s="9"/>
      <c r="T126" s="9"/>
      <c r="U126" s="9"/>
      <c r="V126" s="9"/>
      <c r="W126" s="9"/>
    </row>
    <row r="127">
      <c r="A127" s="3">
        <f>ROW()</f>
      </c>
      <c r="B127" s="63" t="str">
        <v>UAT测试</v>
      </c>
      <c r="C127" s="9"/>
      <c r="D127" s="9"/>
      <c r="E127" s="9"/>
      <c r="F127" s="9"/>
      <c r="G127" s="63"/>
      <c r="H127" s="66"/>
      <c r="I127" s="9"/>
      <c r="J127" s="9"/>
      <c r="K127" s="116"/>
      <c r="L127" s="9"/>
      <c r="M127" s="116"/>
      <c r="N127" s="66"/>
      <c r="O127" s="9"/>
      <c r="P127" s="9"/>
      <c r="Q127" s="9"/>
      <c r="R127" s="9"/>
      <c r="S127" s="9"/>
      <c r="T127" s="9"/>
      <c r="U127" s="9"/>
      <c r="V127" s="9"/>
      <c r="W127" s="9"/>
    </row>
    <row r="128">
      <c r="A128" s="3">
        <f>ROW()</f>
      </c>
      <c r="B128" s="63" t="str">
        <v>UAT测试</v>
      </c>
      <c r="C128" s="9"/>
      <c r="D128" s="9"/>
      <c r="E128" s="9"/>
      <c r="F128" s="9"/>
      <c r="G128" s="63"/>
      <c r="H128" s="66"/>
      <c r="I128" s="9"/>
      <c r="J128" s="9"/>
      <c r="K128" s="116"/>
      <c r="L128" s="9"/>
      <c r="M128" s="116"/>
      <c r="N128" s="66"/>
      <c r="O128" s="9"/>
      <c r="P128" s="9"/>
      <c r="Q128" s="9"/>
      <c r="R128" s="9"/>
      <c r="S128" s="9"/>
      <c r="T128" s="9"/>
      <c r="U128" s="9"/>
      <c r="V128" s="9"/>
      <c r="W128" s="9"/>
    </row>
    <row r="129">
      <c r="A129" s="3">
        <f>ROW()</f>
      </c>
      <c r="B129" s="63" t="str">
        <v>UAT测试</v>
      </c>
      <c r="C129" s="9"/>
      <c r="D129" s="9"/>
      <c r="E129" s="9"/>
      <c r="F129" s="9"/>
      <c r="G129" s="63"/>
      <c r="H129" s="66"/>
      <c r="I129" s="9"/>
      <c r="J129" s="9"/>
      <c r="K129" s="116"/>
      <c r="L129" s="9"/>
      <c r="M129" s="116"/>
      <c r="N129" s="66"/>
      <c r="O129" s="9"/>
      <c r="P129" s="9"/>
      <c r="Q129" s="9"/>
      <c r="R129" s="9"/>
      <c r="S129" s="9"/>
      <c r="T129" s="9"/>
      <c r="U129" s="9"/>
      <c r="V129" s="9"/>
      <c r="W129" s="9"/>
    </row>
    <row r="130">
      <c r="A130" s="3">
        <f>ROW()</f>
      </c>
      <c r="B130" s="63" t="str">
        <v>UAT测试</v>
      </c>
      <c r="C130" s="9"/>
      <c r="D130" s="9"/>
      <c r="E130" s="9"/>
      <c r="F130" s="9"/>
      <c r="G130" s="63"/>
      <c r="H130" s="66"/>
      <c r="I130" s="9"/>
      <c r="J130" s="9"/>
      <c r="K130" s="116"/>
      <c r="L130" s="9"/>
      <c r="M130" s="116"/>
      <c r="N130" s="66"/>
      <c r="O130" s="9"/>
      <c r="P130" s="9"/>
      <c r="Q130" s="9"/>
      <c r="R130" s="9"/>
      <c r="S130" s="9"/>
      <c r="T130" s="9"/>
      <c r="U130" s="9"/>
      <c r="V130" s="9"/>
      <c r="W130" s="9"/>
    </row>
    <row r="131">
      <c r="A131" s="3">
        <f>ROW()</f>
      </c>
      <c r="B131" s="63" t="str">
        <v>UAT测试</v>
      </c>
      <c r="C131" s="9"/>
      <c r="D131" s="9"/>
      <c r="E131" s="9"/>
      <c r="F131" s="9"/>
      <c r="G131" s="63"/>
      <c r="H131" s="66"/>
      <c r="I131" s="9"/>
      <c r="J131" s="9"/>
      <c r="K131" s="116"/>
      <c r="L131" s="9"/>
      <c r="M131" s="116"/>
      <c r="N131" s="66"/>
      <c r="O131" s="9"/>
      <c r="P131" s="9"/>
      <c r="Q131" s="9"/>
      <c r="R131" s="9"/>
      <c r="S131" s="9"/>
      <c r="T131" s="9"/>
      <c r="U131" s="9"/>
      <c r="V131" s="9"/>
      <c r="W131" s="9"/>
    </row>
    <row r="132">
      <c r="A132" s="3">
        <f>ROW()</f>
      </c>
      <c r="B132" s="63" t="str">
        <v>UAT测试</v>
      </c>
      <c r="C132" s="9"/>
      <c r="D132" s="9"/>
      <c r="E132" s="9"/>
      <c r="F132" s="9"/>
      <c r="G132" s="63"/>
      <c r="H132" s="66"/>
      <c r="I132" s="9"/>
      <c r="J132" s="9"/>
      <c r="K132" s="116"/>
      <c r="L132" s="9"/>
      <c r="M132" s="116"/>
      <c r="N132" s="66"/>
      <c r="O132" s="9"/>
      <c r="P132" s="9"/>
      <c r="Q132" s="9"/>
      <c r="R132" s="9"/>
      <c r="S132" s="9"/>
      <c r="T132" s="9"/>
      <c r="U132" s="9"/>
      <c r="V132" s="9"/>
      <c r="W132" s="9"/>
    </row>
    <row r="133">
      <c r="A133" s="3">
        <f>ROW()</f>
      </c>
      <c r="B133" s="63" t="str">
        <v>UAT测试</v>
      </c>
      <c r="C133" s="9"/>
      <c r="D133" s="9"/>
      <c r="E133" s="9"/>
      <c r="F133" s="9"/>
      <c r="G133" s="63"/>
      <c r="H133" s="66"/>
      <c r="I133" s="9"/>
      <c r="J133" s="9"/>
      <c r="K133" s="116"/>
      <c r="L133" s="9"/>
      <c r="M133" s="116"/>
      <c r="N133" s="66"/>
      <c r="O133" s="9"/>
      <c r="P133" s="9"/>
      <c r="Q133" s="9"/>
      <c r="R133" s="9"/>
      <c r="S133" s="9"/>
      <c r="T133" s="9"/>
      <c r="U133" s="9"/>
      <c r="V133" s="9"/>
      <c r="W133" s="9"/>
    </row>
    <row r="134">
      <c r="A134" s="3">
        <f>ROW()</f>
      </c>
      <c r="B134" s="63" t="str">
        <v>UAT测试</v>
      </c>
      <c r="C134" s="9"/>
      <c r="D134" s="9"/>
      <c r="E134" s="9"/>
      <c r="F134" s="9"/>
      <c r="G134" s="63"/>
      <c r="H134" s="66"/>
      <c r="I134" s="9"/>
      <c r="J134" s="9"/>
      <c r="K134" s="116"/>
      <c r="L134" s="9"/>
      <c r="M134" s="116"/>
      <c r="N134" s="66"/>
      <c r="O134" s="9"/>
      <c r="P134" s="9"/>
      <c r="Q134" s="9"/>
      <c r="R134" s="9"/>
      <c r="S134" s="9"/>
      <c r="T134" s="9"/>
      <c r="U134" s="9"/>
      <c r="V134" s="9"/>
      <c r="W134" s="9"/>
    </row>
    <row r="135">
      <c r="A135" s="3">
        <f>ROW()</f>
      </c>
      <c r="B135" s="63" t="str">
        <v>UAT测试</v>
      </c>
      <c r="C135" s="9"/>
      <c r="D135" s="9"/>
      <c r="E135" s="9"/>
      <c r="F135" s="9"/>
      <c r="G135" s="63"/>
      <c r="H135" s="66"/>
      <c r="I135" s="9"/>
      <c r="J135" s="9"/>
      <c r="K135" s="116"/>
      <c r="L135" s="9"/>
      <c r="M135" s="116"/>
      <c r="N135" s="66"/>
      <c r="O135" s="9"/>
      <c r="P135" s="9"/>
      <c r="Q135" s="9"/>
      <c r="R135" s="9"/>
      <c r="S135" s="9"/>
      <c r="T135" s="9"/>
      <c r="U135" s="9"/>
      <c r="V135" s="9"/>
      <c r="W135" s="9"/>
    </row>
    <row r="136">
      <c r="A136" s="3">
        <f>ROW()</f>
      </c>
      <c r="B136" s="63" t="str">
        <v>UAT测试</v>
      </c>
      <c r="C136" s="9"/>
      <c r="D136" s="9"/>
      <c r="E136" s="9"/>
      <c r="F136" s="9"/>
      <c r="G136" s="63"/>
      <c r="H136" s="66"/>
      <c r="I136" s="9"/>
      <c r="J136" s="9"/>
      <c r="K136" s="116"/>
      <c r="L136" s="9"/>
      <c r="M136" s="116"/>
      <c r="N136" s="66"/>
      <c r="O136" s="9"/>
      <c r="P136" s="9"/>
      <c r="Q136" s="9"/>
      <c r="R136" s="9"/>
      <c r="S136" s="9"/>
      <c r="T136" s="9"/>
      <c r="U136" s="9"/>
      <c r="V136" s="9"/>
      <c r="W136" s="9"/>
    </row>
    <row r="137">
      <c r="A137" s="3">
        <f>ROW()</f>
      </c>
      <c r="B137" s="63" t="str">
        <v>UAT测试</v>
      </c>
      <c r="C137" s="9"/>
      <c r="D137" s="9"/>
      <c r="E137" s="9"/>
      <c r="F137" s="9"/>
      <c r="G137" s="63"/>
      <c r="H137" s="66"/>
      <c r="I137" s="9"/>
      <c r="J137" s="9"/>
      <c r="K137" s="116"/>
      <c r="L137" s="9"/>
      <c r="M137" s="116"/>
      <c r="N137" s="66"/>
      <c r="O137" s="9"/>
      <c r="P137" s="9"/>
      <c r="Q137" s="9"/>
      <c r="R137" s="9"/>
      <c r="S137" s="9"/>
      <c r="T137" s="9"/>
      <c r="U137" s="9"/>
      <c r="V137" s="9"/>
      <c r="W137" s="9"/>
    </row>
    <row r="138">
      <c r="A138" s="3">
        <f>ROW()</f>
      </c>
      <c r="B138" s="63" t="str">
        <v>UAT测试</v>
      </c>
      <c r="C138" s="9"/>
      <c r="D138" s="9"/>
      <c r="E138" s="9"/>
      <c r="F138" s="9"/>
      <c r="G138" s="63"/>
      <c r="H138" s="66"/>
      <c r="I138" s="9"/>
      <c r="J138" s="9"/>
      <c r="K138" s="116"/>
      <c r="L138" s="9"/>
      <c r="M138" s="116"/>
      <c r="N138" s="66"/>
      <c r="O138" s="9"/>
      <c r="P138" s="9"/>
      <c r="Q138" s="9"/>
      <c r="R138" s="9"/>
      <c r="S138" s="9"/>
      <c r="T138" s="9"/>
      <c r="U138" s="9"/>
      <c r="V138" s="9"/>
      <c r="W138" s="9"/>
    </row>
    <row r="139">
      <c r="A139" s="3">
        <f>ROW()</f>
      </c>
      <c r="B139" s="63" t="str">
        <v>UAT测试</v>
      </c>
      <c r="C139" s="9"/>
      <c r="D139" s="9"/>
      <c r="E139" s="9"/>
      <c r="F139" s="9"/>
      <c r="G139" s="63"/>
      <c r="H139" s="66"/>
      <c r="I139" s="9"/>
      <c r="J139" s="9"/>
      <c r="K139" s="116"/>
      <c r="L139" s="9"/>
      <c r="M139" s="116"/>
      <c r="N139" s="66"/>
      <c r="O139" s="9"/>
      <c r="P139" s="9"/>
      <c r="Q139" s="9"/>
      <c r="R139" s="9"/>
      <c r="S139" s="9"/>
      <c r="T139" s="9"/>
      <c r="U139" s="9"/>
      <c r="V139" s="9"/>
      <c r="W139" s="9"/>
    </row>
    <row r="140">
      <c r="A140" s="3">
        <f>ROW()</f>
      </c>
      <c r="B140" s="63" t="str">
        <v>UAT测试</v>
      </c>
      <c r="C140" s="9"/>
      <c r="D140" s="9"/>
      <c r="E140" s="9"/>
      <c r="F140" s="9"/>
      <c r="G140" s="63"/>
      <c r="H140" s="66"/>
      <c r="I140" s="9"/>
      <c r="J140" s="9"/>
      <c r="K140" s="116"/>
      <c r="L140" s="9"/>
      <c r="M140" s="116"/>
      <c r="N140" s="66"/>
      <c r="O140" s="9"/>
      <c r="P140" s="9"/>
      <c r="Q140" s="9"/>
      <c r="R140" s="9"/>
      <c r="S140" s="9"/>
      <c r="T140" s="9"/>
      <c r="U140" s="9"/>
      <c r="V140" s="9"/>
      <c r="W140" s="9"/>
    </row>
    <row r="141">
      <c r="A141" s="3">
        <f>ROW()</f>
      </c>
      <c r="B141" s="63" t="str">
        <v>UAT测试</v>
      </c>
      <c r="C141" s="9"/>
      <c r="D141" s="9"/>
      <c r="E141" s="9"/>
      <c r="F141" s="9"/>
      <c r="G141" s="63"/>
      <c r="H141" s="66"/>
      <c r="I141" s="9"/>
      <c r="J141" s="9"/>
      <c r="K141" s="116"/>
      <c r="L141" s="9"/>
      <c r="M141" s="116"/>
      <c r="N141" s="66"/>
      <c r="O141" s="9"/>
      <c r="P141" s="9"/>
      <c r="Q141" s="9"/>
      <c r="R141" s="9"/>
      <c r="S141" s="9"/>
      <c r="T141" s="9"/>
      <c r="U141" s="9"/>
      <c r="V141" s="9"/>
      <c r="W141" s="9"/>
    </row>
    <row r="142">
      <c r="A142" s="3">
        <f>ROW()</f>
      </c>
      <c r="B142" s="63" t="str">
        <v>UAT测试</v>
      </c>
      <c r="C142" s="9"/>
      <c r="D142" s="9"/>
      <c r="E142" s="9"/>
      <c r="F142" s="9"/>
      <c r="G142" s="63"/>
      <c r="H142" s="66"/>
      <c r="I142" s="9"/>
      <c r="J142" s="9"/>
      <c r="K142" s="116"/>
      <c r="L142" s="9"/>
      <c r="M142" s="116"/>
      <c r="N142" s="66"/>
      <c r="O142" s="9"/>
      <c r="P142" s="9"/>
      <c r="Q142" s="9"/>
      <c r="R142" s="9"/>
      <c r="S142" s="9"/>
      <c r="T142" s="9"/>
      <c r="U142" s="9"/>
      <c r="V142" s="9"/>
      <c r="W142" s="9"/>
    </row>
    <row r="143">
      <c r="A143" s="3">
        <f>ROW()</f>
      </c>
      <c r="B143" s="63" t="str">
        <v>UAT测试</v>
      </c>
      <c r="C143" s="9"/>
      <c r="D143" s="9"/>
      <c r="E143" s="9"/>
      <c r="F143" s="9"/>
      <c r="G143" s="63"/>
      <c r="H143" s="66"/>
      <c r="I143" s="9"/>
      <c r="J143" s="9"/>
      <c r="K143" s="116"/>
      <c r="L143" s="9"/>
      <c r="M143" s="116"/>
      <c r="N143" s="66"/>
      <c r="O143" s="9"/>
      <c r="P143" s="9"/>
      <c r="Q143" s="9"/>
      <c r="R143" s="9"/>
      <c r="S143" s="9"/>
      <c r="T143" s="9"/>
      <c r="U143" s="9"/>
      <c r="V143" s="9"/>
      <c r="W143" s="9"/>
    </row>
    <row r="144">
      <c r="A144" s="3">
        <f>ROW()</f>
      </c>
      <c r="B144" s="63" t="str">
        <v>UAT测试</v>
      </c>
      <c r="C144" s="9"/>
      <c r="D144" s="9"/>
      <c r="E144" s="9"/>
      <c r="F144" s="9"/>
      <c r="G144" s="63"/>
      <c r="H144" s="66"/>
      <c r="I144" s="9"/>
      <c r="J144" s="9"/>
      <c r="K144" s="116"/>
      <c r="L144" s="9"/>
      <c r="M144" s="116"/>
      <c r="N144" s="66"/>
      <c r="O144" s="9"/>
      <c r="P144" s="9"/>
      <c r="Q144" s="9"/>
      <c r="R144" s="9"/>
      <c r="S144" s="9"/>
      <c r="T144" s="9"/>
      <c r="U144" s="9"/>
      <c r="V144" s="9"/>
      <c r="W144" s="9"/>
    </row>
    <row r="145">
      <c r="A145" s="3">
        <f>ROW()</f>
      </c>
      <c r="B145" s="63" t="str">
        <v>UAT测试</v>
      </c>
      <c r="C145" s="9"/>
      <c r="D145" s="9"/>
      <c r="E145" s="9"/>
      <c r="F145" s="9"/>
      <c r="G145" s="63"/>
      <c r="H145" s="66"/>
      <c r="I145" s="9"/>
      <c r="J145" s="9"/>
      <c r="K145" s="116"/>
      <c r="L145" s="9"/>
      <c r="M145" s="116"/>
      <c r="N145" s="66"/>
      <c r="O145" s="9"/>
      <c r="P145" s="9"/>
      <c r="Q145" s="9"/>
      <c r="R145" s="9"/>
      <c r="S145" s="9"/>
      <c r="T145" s="9"/>
      <c r="U145" s="9"/>
      <c r="V145" s="9"/>
      <c r="W145" s="9"/>
    </row>
    <row r="146">
      <c r="A146" s="3">
        <f>ROW()</f>
      </c>
      <c r="B146" s="63" t="str">
        <v>UAT测试</v>
      </c>
      <c r="C146" s="9"/>
      <c r="D146" s="9"/>
      <c r="E146" s="9"/>
      <c r="F146" s="9"/>
      <c r="G146" s="63"/>
      <c r="H146" s="66"/>
      <c r="I146" s="9"/>
      <c r="J146" s="9"/>
      <c r="K146" s="116"/>
      <c r="L146" s="9"/>
      <c r="M146" s="116"/>
      <c r="N146" s="66"/>
      <c r="O146" s="9"/>
      <c r="P146" s="9"/>
      <c r="Q146" s="9"/>
      <c r="R146" s="9"/>
      <c r="S146" s="9"/>
      <c r="T146" s="9"/>
      <c r="U146" s="9"/>
      <c r="V146" s="9"/>
      <c r="W146" s="9"/>
    </row>
    <row r="147">
      <c r="A147" s="3">
        <f>ROW()</f>
      </c>
      <c r="B147" s="63" t="str">
        <v>UAT测试</v>
      </c>
      <c r="C147" s="9"/>
      <c r="D147" s="9"/>
      <c r="E147" s="9"/>
      <c r="F147" s="9"/>
      <c r="G147" s="63"/>
      <c r="H147" s="66"/>
      <c r="I147" s="9"/>
      <c r="J147" s="9"/>
      <c r="K147" s="116"/>
      <c r="L147" s="9"/>
      <c r="M147" s="116"/>
      <c r="N147" s="66"/>
      <c r="O147" s="9"/>
      <c r="P147" s="9"/>
      <c r="Q147" s="9"/>
      <c r="R147" s="9"/>
      <c r="S147" s="9"/>
      <c r="T147" s="9"/>
      <c r="U147" s="9"/>
      <c r="V147" s="9"/>
      <c r="W147" s="9"/>
    </row>
    <row r="148">
      <c r="A148" s="3">
        <f>ROW()</f>
      </c>
      <c r="B148" s="63" t="str">
        <v>UAT测试</v>
      </c>
      <c r="C148" s="9"/>
      <c r="D148" s="9"/>
      <c r="E148" s="9"/>
      <c r="F148" s="9"/>
      <c r="G148" s="63"/>
      <c r="H148" s="66"/>
      <c r="I148" s="9"/>
      <c r="J148" s="9"/>
      <c r="K148" s="116"/>
      <c r="L148" s="9"/>
      <c r="M148" s="116"/>
      <c r="N148" s="66"/>
      <c r="O148" s="9"/>
      <c r="P148" s="9"/>
      <c r="Q148" s="9"/>
      <c r="R148" s="9"/>
      <c r="S148" s="9"/>
      <c r="T148" s="9"/>
      <c r="U148" s="9"/>
      <c r="V148" s="9"/>
      <c r="W148" s="9"/>
    </row>
    <row r="149">
      <c r="A149" s="3">
        <f>ROW()</f>
      </c>
      <c r="B149" s="63" t="str">
        <v>UAT测试</v>
      </c>
      <c r="C149" s="9"/>
      <c r="D149" s="9"/>
      <c r="E149" s="9"/>
      <c r="F149" s="9"/>
      <c r="G149" s="63"/>
      <c r="H149" s="66"/>
      <c r="I149" s="9"/>
      <c r="J149" s="9"/>
      <c r="K149" s="116"/>
      <c r="L149" s="9"/>
      <c r="M149" s="116"/>
      <c r="N149" s="66"/>
      <c r="O149" s="9"/>
      <c r="P149" s="9"/>
      <c r="Q149" s="9"/>
      <c r="R149" s="9"/>
      <c r="S149" s="9"/>
      <c r="T149" s="9"/>
      <c r="U149" s="9"/>
      <c r="V149" s="9"/>
      <c r="W149" s="9"/>
    </row>
    <row r="150">
      <c r="A150" s="3">
        <f>ROW()</f>
      </c>
      <c r="B150" s="63" t="str">
        <v>UAT测试</v>
      </c>
      <c r="C150" s="9"/>
      <c r="D150" s="9"/>
      <c r="E150" s="9"/>
      <c r="F150" s="9"/>
      <c r="G150" s="63"/>
      <c r="H150" s="66"/>
      <c r="I150" s="9"/>
      <c r="J150" s="9"/>
      <c r="K150" s="116"/>
      <c r="L150" s="9"/>
      <c r="M150" s="116"/>
      <c r="N150" s="66"/>
      <c r="O150" s="9"/>
      <c r="P150" s="9"/>
      <c r="Q150" s="9"/>
      <c r="R150" s="9"/>
      <c r="S150" s="9"/>
      <c r="T150" s="9"/>
      <c r="U150" s="9"/>
      <c r="V150" s="9"/>
      <c r="W150" s="9"/>
    </row>
    <row r="151">
      <c r="A151" s="3">
        <f>ROW()</f>
      </c>
      <c r="B151" s="63" t="str">
        <v>UAT测试</v>
      </c>
      <c r="C151" s="9"/>
      <c r="D151" s="9"/>
      <c r="E151" s="9"/>
      <c r="F151" s="9"/>
      <c r="G151" s="63"/>
      <c r="H151" s="66"/>
      <c r="I151" s="9"/>
      <c r="J151" s="9"/>
      <c r="K151" s="116"/>
      <c r="L151" s="9"/>
      <c r="M151" s="116"/>
      <c r="N151" s="66"/>
      <c r="O151" s="9"/>
      <c r="P151" s="9"/>
      <c r="Q151" s="9"/>
      <c r="R151" s="9"/>
      <c r="S151" s="9"/>
      <c r="T151" s="9"/>
      <c r="U151" s="9"/>
      <c r="V151" s="9"/>
      <c r="W151" s="9"/>
    </row>
    <row r="152">
      <c r="A152" s="3">
        <f>ROW()</f>
      </c>
      <c r="B152" s="63" t="str">
        <v>UAT测试</v>
      </c>
      <c r="C152" s="9"/>
      <c r="D152" s="9"/>
      <c r="E152" s="9"/>
      <c r="F152" s="9"/>
      <c r="G152" s="63"/>
      <c r="H152" s="66"/>
      <c r="I152" s="9"/>
      <c r="J152" s="9"/>
      <c r="K152" s="116"/>
      <c r="L152" s="9"/>
      <c r="M152" s="116"/>
      <c r="N152" s="66"/>
      <c r="O152" s="9"/>
      <c r="P152" s="9"/>
      <c r="Q152" s="9"/>
      <c r="R152" s="9"/>
      <c r="S152" s="9"/>
      <c r="T152" s="9"/>
      <c r="U152" s="9"/>
      <c r="V152" s="9"/>
      <c r="W152" s="9"/>
    </row>
    <row r="153">
      <c r="A153" s="3">
        <f>ROW()</f>
      </c>
      <c r="B153" s="63" t="str">
        <v>UAT测试</v>
      </c>
      <c r="C153" s="9"/>
      <c r="D153" s="9"/>
      <c r="E153" s="9"/>
      <c r="F153" s="9"/>
      <c r="G153" s="63"/>
      <c r="H153" s="66"/>
      <c r="I153" s="9"/>
      <c r="J153" s="9"/>
      <c r="K153" s="116"/>
      <c r="L153" s="9"/>
      <c r="M153" s="116"/>
      <c r="N153" s="66"/>
      <c r="O153" s="9"/>
      <c r="P153" s="9"/>
      <c r="Q153" s="9"/>
      <c r="R153" s="9"/>
      <c r="S153" s="9"/>
      <c r="T153" s="9"/>
      <c r="U153" s="9"/>
      <c r="V153" s="9"/>
      <c r="W153" s="9"/>
    </row>
    <row r="154">
      <c r="A154" s="3">
        <f>ROW()</f>
      </c>
      <c r="B154" s="63" t="str">
        <v>UAT测试</v>
      </c>
      <c r="C154" s="9"/>
      <c r="D154" s="9"/>
      <c r="E154" s="9"/>
      <c r="F154" s="9"/>
      <c r="G154" s="63"/>
      <c r="H154" s="66"/>
      <c r="I154" s="9"/>
      <c r="J154" s="9"/>
      <c r="K154" s="116"/>
      <c r="L154" s="9"/>
      <c r="M154" s="116"/>
      <c r="N154" s="66"/>
      <c r="O154" s="9"/>
      <c r="P154" s="9"/>
      <c r="Q154" s="9"/>
      <c r="R154" s="9"/>
      <c r="S154" s="9"/>
      <c r="T154" s="9"/>
      <c r="U154" s="9"/>
      <c r="V154" s="9"/>
      <c r="W154" s="9"/>
    </row>
    <row r="155">
      <c r="A155" s="3">
        <f>ROW()</f>
      </c>
      <c r="B155" s="63" t="str">
        <v>UAT测试</v>
      </c>
      <c r="C155" s="9"/>
      <c r="D155" s="9"/>
      <c r="E155" s="9"/>
      <c r="F155" s="9"/>
      <c r="G155" s="63"/>
      <c r="H155" s="66"/>
      <c r="I155" s="9"/>
      <c r="J155" s="9"/>
      <c r="K155" s="116"/>
      <c r="L155" s="9"/>
      <c r="M155" s="116"/>
      <c r="N155" s="66"/>
      <c r="O155" s="9"/>
      <c r="P155" s="9"/>
      <c r="Q155" s="9"/>
      <c r="R155" s="9"/>
      <c r="S155" s="9"/>
      <c r="T155" s="9"/>
      <c r="U155" s="9"/>
      <c r="V155" s="9"/>
      <c r="W155" s="9"/>
    </row>
    <row r="156">
      <c r="A156" s="3">
        <f>ROW()</f>
      </c>
      <c r="B156" s="63" t="str">
        <v>UAT测试</v>
      </c>
      <c r="C156" s="9"/>
      <c r="D156" s="9"/>
      <c r="E156" s="9"/>
      <c r="F156" s="9"/>
      <c r="G156" s="63"/>
      <c r="H156" s="66"/>
      <c r="I156" s="9"/>
      <c r="J156" s="9"/>
      <c r="K156" s="116"/>
      <c r="L156" s="9"/>
      <c r="M156" s="116"/>
      <c r="N156" s="66"/>
      <c r="O156" s="9"/>
      <c r="P156" s="9"/>
      <c r="Q156" s="9"/>
      <c r="R156" s="9"/>
      <c r="S156" s="9"/>
      <c r="T156" s="9"/>
      <c r="U156" s="9"/>
      <c r="V156" s="9"/>
      <c r="W156" s="9"/>
    </row>
    <row r="157">
      <c r="A157" s="3">
        <f>ROW()</f>
      </c>
      <c r="B157" s="63" t="str">
        <v>UAT测试</v>
      </c>
      <c r="C157" s="9"/>
      <c r="D157" s="9"/>
      <c r="E157" s="9"/>
      <c r="F157" s="9"/>
      <c r="G157" s="63"/>
      <c r="H157" s="66"/>
      <c r="I157" s="9"/>
      <c r="J157" s="9"/>
      <c r="K157" s="116"/>
      <c r="L157" s="9"/>
      <c r="M157" s="116"/>
      <c r="N157" s="66"/>
      <c r="O157" s="9"/>
      <c r="P157" s="9"/>
      <c r="Q157" s="9"/>
      <c r="R157" s="9"/>
      <c r="S157" s="9"/>
      <c r="T157" s="9"/>
      <c r="U157" s="9"/>
      <c r="V157" s="9"/>
      <c r="W157" s="9"/>
    </row>
    <row r="158">
      <c r="A158" s="3">
        <f>ROW()</f>
      </c>
      <c r="B158" s="63" t="str">
        <v>UAT测试</v>
      </c>
      <c r="C158" s="9"/>
      <c r="D158" s="9"/>
      <c r="E158" s="9"/>
      <c r="F158" s="9"/>
      <c r="G158" s="63"/>
      <c r="H158" s="66"/>
      <c r="I158" s="9"/>
      <c r="J158" s="9"/>
      <c r="K158" s="116"/>
      <c r="L158" s="9"/>
      <c r="M158" s="116"/>
      <c r="N158" s="66"/>
      <c r="O158" s="9"/>
      <c r="P158" s="9"/>
      <c r="Q158" s="9"/>
      <c r="R158" s="9"/>
      <c r="S158" s="9"/>
      <c r="T158" s="9"/>
      <c r="U158" s="9"/>
      <c r="V158" s="9"/>
      <c r="W158" s="9"/>
    </row>
    <row r="159">
      <c r="A159" s="3">
        <f>ROW()</f>
      </c>
      <c r="B159" s="63" t="str">
        <v>UAT测试</v>
      </c>
      <c r="C159" s="9"/>
      <c r="D159" s="9"/>
      <c r="E159" s="9"/>
      <c r="F159" s="9"/>
      <c r="G159" s="63"/>
      <c r="H159" s="66"/>
      <c r="I159" s="9"/>
      <c r="J159" s="9"/>
      <c r="K159" s="116"/>
      <c r="L159" s="9"/>
      <c r="M159" s="116"/>
      <c r="N159" s="66"/>
      <c r="O159" s="9"/>
      <c r="P159" s="9"/>
      <c r="Q159" s="9"/>
      <c r="R159" s="9"/>
      <c r="S159" s="9"/>
      <c r="T159" s="9"/>
      <c r="U159" s="9"/>
      <c r="V159" s="9"/>
      <c r="W159" s="9"/>
    </row>
    <row r="160">
      <c r="A160" s="3">
        <f>ROW()</f>
      </c>
      <c r="B160" s="63" t="str">
        <v>UAT测试</v>
      </c>
      <c r="C160" s="9"/>
      <c r="D160" s="9"/>
      <c r="E160" s="9"/>
      <c r="F160" s="9"/>
      <c r="G160" s="63"/>
      <c r="H160" s="66"/>
      <c r="I160" s="9"/>
      <c r="J160" s="9"/>
      <c r="K160" s="116"/>
      <c r="L160" s="9"/>
      <c r="M160" s="116"/>
      <c r="N160" s="66"/>
      <c r="O160" s="9"/>
      <c r="P160" s="9"/>
      <c r="Q160" s="9"/>
      <c r="R160" s="9"/>
      <c r="S160" s="9"/>
      <c r="T160" s="9"/>
      <c r="U160" s="9"/>
      <c r="V160" s="9"/>
      <c r="W160" s="9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</sheetData>
  <dataValidations count="6">
    <dataValidation allowBlank="true" errorStyle="stop" showErrorMessage="true" sqref="G3:G160" type="list">
      <formula1>"数据问题,表单样式,优化/补充需求,方案/逻辑补充,业务变更(业务场景/逻辑等),系统问题,功能咨询,其他"</formula1>
    </dataValidation>
    <dataValidation allowBlank="true" errorStyle="stop" showErrorMessage="true" sqref="O3:O160" type="list">
      <formula1>"澄清答疑,变更项,优化项,方案理解问题,源系统数据质量问题,数据映射,开发问题,调度问题,系统BUG,权限配置,操作问题"</formula1>
    </dataValidation>
    <dataValidation allowBlank="true" errorStyle="stop" showErrorMessage="true" sqref="H3:H160" type="list">
      <formula1>"高,中,低,紧急"</formula1>
    </dataValidation>
    <dataValidation allowBlank="true" errorStyle="stop" showErrorMessage="true" sqref="B3:B160" type="list">
      <formula1>"集成测试,UAT测试,试运行,运维支持"</formula1>
    </dataValidation>
    <dataValidation allowBlank="true" errorStyle="stop" showErrorMessage="true" sqref="N3:N160" type="list">
      <formula1>"未开始,处理中,待确认解决方案,已解决待复测,复测不通过,已完成,暂挂,取消"</formula1>
    </dataValidation>
    <dataValidation allowBlank="true" errorStyle="stop" showErrorMessage="true" sqref="C3:C160" type="list">
      <formula1>"基准价-,指标分析-业绩目标,指标分析-业绩预估,指标分析-经营周报"</formula1>
    </dataValidation>
  </dataValidation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M3" xSplit="12" ySplit="2"/>
    </sheetView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9"/>
    <col collapsed="false" customWidth="true" hidden="false" max="6" min="6" style="0" width="12"/>
    <col collapsed="false" customWidth="true" hidden="false" max="7" min="7" style="0" width="20"/>
    <col collapsed="false" customWidth="true" hidden="false" max="8" min="8" style="0" width="15"/>
    <col collapsed="false" customWidth="true" hidden="false" max="9" min="9" style="0" width="10"/>
    <col collapsed="false" customWidth="true" hidden="false" max="10" min="10" style="0" width="11"/>
    <col collapsed="false" customWidth="true" hidden="false" max="11" min="11" style="0" width="17"/>
    <col collapsed="false" customWidth="true" hidden="false" max="12" min="12" style="0" width="13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33"/>
    <col collapsed="false" customWidth="true" hidden="false" max="16" min="16" style="0" width="24"/>
    <col collapsed="false" customWidth="true" hidden="false" max="17" min="17" style="0" width="12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  <col collapsed="false" customWidth="true" hidden="false" max="21" min="21" style="0" width="10"/>
    <col collapsed="false" customWidth="true" hidden="false" max="22" min="22" style="0" width="10"/>
    <col collapsed="false" customWidth="true" hidden="false" max="23" min="23" style="0" width="10"/>
    <col collapsed="false" customWidth="true" hidden="false" max="24" min="24" style="0" width="10"/>
    <col collapsed="false" customWidth="true" hidden="false" max="25" min="25" style="0" width="12"/>
    <col collapsed="false" customWidth="true" hidden="false" max="26" min="26" style="0" width="12"/>
    <col collapsed="false" customWidth="true" hidden="false" max="27" min="27" style="0" width="12"/>
    <col collapsed="false" customWidth="true" hidden="false" max="28" min="28" style="0" width="12"/>
    <col collapsed="false" customWidth="true" hidden="false" max="29" min="29" style="0" width="10"/>
    <col collapsed="false" customWidth="true" hidden="false" max="30" min="30" style="0" width="30"/>
    <col collapsed="false" customWidth="true" hidden="false" max="31" min="31" style="0" width="12"/>
    <col collapsed="false" customWidth="true" hidden="false" max="32" min="32" style="0" width="12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4"/>
    <col collapsed="false" customWidth="true" hidden="false" max="36" min="36" style="0" width="14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0"/>
    <col collapsed="false" customWidth="true" hidden="false" max="40" min="40" style="0" width="10"/>
    <col collapsed="false" customWidth="true" hidden="false" max="41" min="41" style="0" width="17"/>
    <col collapsed="false" customWidth="true" hidden="false" max="42" min="42" style="0" width="7"/>
    <col collapsed="false" customWidth="true" hidden="false" max="43" min="43" style="0" width="18"/>
    <col collapsed="false" customWidth="true" hidden="false" max="44" min="44" style="0" width="9"/>
    <col collapsed="false" customWidth="true" hidden="false" max="45" min="45" style="0" width="14"/>
  </cols>
  <sheetData>
    <row r="1">
      <c r="A1" s="128" t="str">
        <v>SAP手工业绩表已维护数据--截至20260108（VA-接单，VL-出货）：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18" t="str">
        <v>整理后：</v>
      </c>
      <c r="N1" s="127"/>
      <c r="O1" s="127" t="str">
        <v>补充</v>
      </c>
      <c r="P1" s="127" t="str">
        <v>有值-确认
无值-补充</v>
      </c>
      <c r="Q1" s="130" t="str">
        <v>有值-确认
无值-补充</v>
      </c>
      <c r="R1" s="127" t="str">
        <v>有值-确认</v>
      </c>
      <c r="S1" s="127" t="str">
        <v>有值-确认</v>
      </c>
      <c r="T1" s="127" t="str">
        <v>有值-确认</v>
      </c>
      <c r="U1" s="127" t="str">
        <v>有值-确认
无值-补充</v>
      </c>
      <c r="V1" s="127" t="str">
        <v>有值-确认
无值-补充</v>
      </c>
      <c r="W1" s="127" t="str">
        <v>有值-确认
无值-补充</v>
      </c>
      <c r="X1" s="127" t="str">
        <v>有值-确认
无值-补充</v>
      </c>
      <c r="Y1" s="133" t="str">
        <v>根据所选产品编码带出研发产品线分类：</v>
      </c>
      <c r="Z1" s="133"/>
      <c r="AA1" s="133"/>
      <c r="AB1" s="133"/>
      <c r="AC1" s="130" t="str">
        <v>有值-确认
无值-补充</v>
      </c>
      <c r="AD1" s="127" t="str">
        <v>有值-确认
无值-补充</v>
      </c>
      <c r="AE1" s="127" t="str">
        <v>补充</v>
      </c>
      <c r="AF1" s="127" t="str">
        <v>补充</v>
      </c>
      <c r="AG1" s="127" t="str">
        <v>有值-确认
无值-补充</v>
      </c>
      <c r="AH1" s="127" t="str">
        <v>有值-确认
无值-补充</v>
      </c>
      <c r="AI1" s="127" t="str">
        <v>有值-确认
无值-补充</v>
      </c>
      <c r="AJ1" s="127" t="str">
        <v>有值-确认
无值-补充</v>
      </c>
      <c r="AK1" s="127" t="str">
        <v>有值-确认
无值-补充</v>
      </c>
      <c r="AL1" s="127" t="str">
        <v>有值-确认
无值-补充</v>
      </c>
      <c r="AM1" s="127" t="str">
        <v>补充</v>
      </c>
      <c r="AN1" s="127" t="str">
        <v>补充</v>
      </c>
      <c r="AO1" s="127" t="str">
        <v>补充</v>
      </c>
      <c r="AP1" s="127" t="str">
        <v>补充</v>
      </c>
      <c r="AQ1" s="129" t="str">
        <v>计算</v>
      </c>
      <c r="AR1" s="127" t="str">
        <v>有值-确认</v>
      </c>
      <c r="AS1" s="132"/>
    </row>
    <row r="2">
      <c r="A2" s="128" t="str">
        <v>目标范围</v>
      </c>
      <c r="B2" s="128" t="str">
        <v>目标类型</v>
      </c>
      <c r="C2" s="128" t="str">
        <v>产品类型</v>
      </c>
      <c r="D2" s="128" t="str">
        <v>行业类型</v>
      </c>
      <c r="E2" s="128" t="str">
        <v>kc客户</v>
      </c>
      <c r="F2" s="128" t="str">
        <v>京东方客户</v>
      </c>
      <c r="G2" s="128" t="str">
        <v>客户采购订单编号</v>
      </c>
      <c r="H2" s="128" t="str">
        <v>记录的创建日期</v>
      </c>
      <c r="I2" s="128" t="str">
        <v>销售大区</v>
      </c>
      <c r="J2" s="128" t="str">
        <v>省份/国家</v>
      </c>
      <c r="K2" s="128" t="str">
        <v>按本位币计的金额</v>
      </c>
      <c r="L2" s="128" t="str">
        <v>SD 凭证货币</v>
      </c>
      <c r="M2" s="127" t="str">
        <v>负责人员</v>
      </c>
      <c r="N2" s="127" t="str">
        <v>状态</v>
      </c>
      <c r="O2" s="131" t="str">
        <v>补录类型</v>
      </c>
      <c r="P2" s="131" t="str">
        <v>合同号</v>
      </c>
      <c r="Q2" s="130" t="str">
        <v>销售凭证号</v>
      </c>
      <c r="R2" s="127" t="str">
        <v>公司代码</v>
      </c>
      <c r="S2" s="127" t="str">
        <v>公司名称</v>
      </c>
      <c r="T2" s="127" t="str">
        <v>目标类型</v>
      </c>
      <c r="U2" s="127" t="str">
        <v>产品类型</v>
      </c>
      <c r="V2" s="127" t="str">
        <v>行业类型</v>
      </c>
      <c r="W2" s="127" t="str">
        <v>产品编码</v>
      </c>
      <c r="X2" s="127" t="str">
        <v>产品名称</v>
      </c>
      <c r="Y2" s="129" t="str">
        <v>产品线编码</v>
      </c>
      <c r="Z2" s="129" t="str">
        <v>产品线名称</v>
      </c>
      <c r="AA2" s="129" t="str">
        <v>产品族编码</v>
      </c>
      <c r="AB2" s="129" t="str">
        <v>产品族名称</v>
      </c>
      <c r="AC2" s="130" t="str">
        <v>客户编码</v>
      </c>
      <c r="AD2" s="127" t="str">
        <v>客户名称</v>
      </c>
      <c r="AE2" s="127" t="str">
        <v>业务员编码</v>
      </c>
      <c r="AF2" s="127" t="str">
        <v>业务员名称</v>
      </c>
      <c r="AG2" s="127" t="str">
        <v>销售区域编码</v>
      </c>
      <c r="AH2" s="127" t="str">
        <v>销售区域名称</v>
      </c>
      <c r="AI2" s="127" t="str">
        <v>销售大区编码</v>
      </c>
      <c r="AJ2" s="127" t="str">
        <v>销售大区名称</v>
      </c>
      <c r="AK2" s="127" t="str">
        <v>销售战区编码</v>
      </c>
      <c r="AL2" s="127" t="str">
        <v>销售战区名称</v>
      </c>
      <c r="AM2" s="127" t="str">
        <v>销售数量</v>
      </c>
      <c r="AN2" s="127" t="str">
        <v>销售面积</v>
      </c>
      <c r="AO2" s="127" t="str">
        <v>订单金额（含税）</v>
      </c>
      <c r="AP2" s="127" t="str">
        <v>税率</v>
      </c>
      <c r="AQ2" s="129" t="str">
        <v>订单金额（不含税）</v>
      </c>
      <c r="AR2" s="127" t="str">
        <v>货币</v>
      </c>
      <c r="AS2" s="132"/>
    </row>
    <row r="3">
      <c r="A3" t="str" xml:space="preserve">
        <v> </v>
      </c>
      <c r="B3" t="str" xml:space="preserve">
        <v> </v>
      </c>
      <c r="C3" t="str" xml:space="preserve">
        <v> </v>
      </c>
      <c r="D3" t="str" xml:space="preserve">
        <v> </v>
      </c>
      <c r="E3" t="str" xml:space="preserve">
        <v> </v>
      </c>
      <c r="F3" t="str" xml:space="preserve">
        <v> </v>
      </c>
      <c r="G3" t="str">
        <v>UNIN2507048</v>
      </c>
      <c r="H3">
        <v>20250813</v>
      </c>
      <c r="I3" t="str">
        <v>华南</v>
      </c>
      <c r="J3" t="str">
        <v>广州</v>
      </c>
      <c r="K3" s="124">
        <v>266298</v>
      </c>
      <c r="L3" t="str">
        <v>CNY</v>
      </c>
      <c r="N3" t="str">
        <v>待确认</v>
      </c>
      <c r="O3" s="111"/>
      <c r="P3">
        <f>G3</f>
      </c>
      <c r="Q3" s="125" t="str">
        <v>0000354477</v>
      </c>
      <c r="R3">
        <v>1000</v>
      </c>
      <c r="S3" t="str">
        <v>深圳市洲明科技股份有限公司</v>
      </c>
      <c r="T3">
        <f>B3</f>
      </c>
      <c r="U3" s="111" t="str">
        <v>户外照明</v>
      </c>
      <c r="Y3" s="123"/>
      <c r="Z3" s="123"/>
      <c r="AA3" s="123"/>
      <c r="AB3" s="123"/>
      <c r="AC3" s="125" t="str">
        <v>0000107691</v>
      </c>
      <c r="AD3" t="str">
        <v>甘肃紫光智能交通与控制技术有限公司</v>
      </c>
      <c r="AO3">
        <f>K3</f>
      </c>
      <c r="AQ3" s="123">
        <f>AO3/(1+AP3)</f>
      </c>
      <c r="AR3">
        <f>L3</f>
      </c>
    </row>
    <row r="4">
      <c r="A4" t="str" xml:space="preserve">
        <v> </v>
      </c>
      <c r="B4" t="str" xml:space="preserve">
        <v> </v>
      </c>
      <c r="C4" t="str" xml:space="preserve">
        <v> </v>
      </c>
      <c r="D4" t="str" xml:space="preserve">
        <v> </v>
      </c>
      <c r="E4" t="str" xml:space="preserve">
        <v> </v>
      </c>
      <c r="F4" t="str" xml:space="preserve">
        <v> </v>
      </c>
      <c r="G4" t="str">
        <v>UNIN2501017</v>
      </c>
      <c r="H4">
        <v>20250219</v>
      </c>
      <c r="I4" t="str">
        <v>华南</v>
      </c>
      <c r="J4" t="str">
        <v>广州</v>
      </c>
      <c r="K4" s="124">
        <v>10500</v>
      </c>
      <c r="L4" t="str">
        <v>CNY</v>
      </c>
      <c r="N4" t="str">
        <v>待确认</v>
      </c>
      <c r="O4" s="111"/>
      <c r="P4">
        <f>G4</f>
      </c>
      <c r="Q4" s="125"/>
      <c r="T4">
        <f>B4</f>
      </c>
      <c r="Y4" s="123"/>
      <c r="Z4" s="123"/>
      <c r="AA4" s="123"/>
      <c r="AB4" s="123"/>
      <c r="AC4" s="125"/>
      <c r="AO4">
        <f>K4</f>
      </c>
      <c r="AQ4" s="123">
        <f>AO4/(1+AP4)</f>
      </c>
      <c r="AR4">
        <f>L4</f>
      </c>
    </row>
    <row r="5">
      <c r="A5" t="str">
        <v>国内</v>
      </c>
      <c r="B5" t="str">
        <v>VA</v>
      </c>
      <c r="C5" t="str">
        <v>照明</v>
      </c>
      <c r="D5" t="str" xml:space="preserve">
        <v> </v>
      </c>
      <c r="E5" t="str" xml:space="preserve">
        <v> </v>
      </c>
      <c r="F5" t="str" xml:space="preserve">
        <v> </v>
      </c>
      <c r="G5" t="str">
        <v>UNIN2511019</v>
      </c>
      <c r="H5">
        <v>20260108</v>
      </c>
      <c r="I5" t="str">
        <v>西南</v>
      </c>
      <c r="J5" t="str">
        <v>云南</v>
      </c>
      <c r="K5" s="124">
        <v>559189</v>
      </c>
      <c r="L5" t="str">
        <v>CNY</v>
      </c>
      <c r="N5" t="str">
        <v>待确认</v>
      </c>
      <c r="P5">
        <f>G5</f>
      </c>
      <c r="Q5" s="125"/>
      <c r="T5">
        <f>B5</f>
      </c>
      <c r="Y5" s="123"/>
      <c r="Z5" s="123"/>
      <c r="AA5" s="123"/>
      <c r="AB5" s="123"/>
      <c r="AC5" s="125"/>
      <c r="AO5">
        <f>K5</f>
      </c>
      <c r="AQ5" s="123">
        <f>AO5/(1+AP5)</f>
      </c>
      <c r="AR5">
        <f>L5</f>
      </c>
    </row>
    <row r="6">
      <c r="A6" t="str">
        <v>国内</v>
      </c>
      <c r="B6" t="str">
        <v>VA</v>
      </c>
      <c r="C6" t="str">
        <v>照明</v>
      </c>
      <c r="D6" t="str" xml:space="preserve">
        <v> </v>
      </c>
      <c r="E6" t="str" xml:space="preserve">
        <v> </v>
      </c>
      <c r="F6" t="str" xml:space="preserve">
        <v> </v>
      </c>
      <c r="G6" t="str">
        <v>UNIN2409451增补4</v>
      </c>
      <c r="H6">
        <v>20260107</v>
      </c>
      <c r="I6" t="str">
        <v>西南</v>
      </c>
      <c r="J6" t="str">
        <v>贵州</v>
      </c>
      <c r="K6" s="124">
        <v>64800</v>
      </c>
      <c r="L6" t="str">
        <v>CNY</v>
      </c>
      <c r="N6" t="str">
        <v>待确认</v>
      </c>
      <c r="P6">
        <f>G6</f>
      </c>
      <c r="Q6" s="125"/>
      <c r="T6">
        <f>B6</f>
      </c>
      <c r="Y6" s="123"/>
      <c r="Z6" s="123"/>
      <c r="AA6" s="123"/>
      <c r="AB6" s="123"/>
      <c r="AC6" s="125"/>
      <c r="AO6">
        <f>K6</f>
      </c>
      <c r="AQ6" s="123">
        <f>AO6/(1+AP6)</f>
      </c>
      <c r="AR6">
        <f>L6</f>
      </c>
    </row>
    <row r="7">
      <c r="A7" t="str">
        <v>国内</v>
      </c>
      <c r="B7" t="str">
        <v>VA</v>
      </c>
      <c r="C7" t="str">
        <v>照明</v>
      </c>
      <c r="D7" t="str" xml:space="preserve">
        <v> </v>
      </c>
      <c r="E7" t="str" xml:space="preserve">
        <v> </v>
      </c>
      <c r="F7" t="str" xml:space="preserve">
        <v> </v>
      </c>
      <c r="G7" t="str">
        <v>UNIN2503030增补3</v>
      </c>
      <c r="H7">
        <v>20260107</v>
      </c>
      <c r="I7" t="str">
        <v>华东</v>
      </c>
      <c r="J7" t="str">
        <v>浙江</v>
      </c>
      <c r="K7" s="124">
        <v>52853</v>
      </c>
      <c r="L7" t="str">
        <v>CNY</v>
      </c>
      <c r="N7" t="str">
        <v>待确认</v>
      </c>
      <c r="P7">
        <f>G7</f>
      </c>
      <c r="Q7" s="125"/>
      <c r="T7">
        <f>B7</f>
      </c>
      <c r="Y7" s="123"/>
      <c r="Z7" s="123"/>
      <c r="AA7" s="123"/>
      <c r="AB7" s="123"/>
      <c r="AC7" s="125"/>
      <c r="AO7">
        <f>K7</f>
      </c>
      <c r="AQ7" s="123">
        <f>AO7/(1+AP7)</f>
      </c>
      <c r="AR7">
        <f>L7</f>
      </c>
    </row>
    <row r="8">
      <c r="A8" t="str">
        <v>国内</v>
      </c>
      <c r="B8" t="str">
        <v>VA</v>
      </c>
      <c r="C8" t="str">
        <v>照明</v>
      </c>
      <c r="D8" t="str" xml:space="preserve">
        <v> </v>
      </c>
      <c r="E8" t="str" xml:space="preserve">
        <v> </v>
      </c>
      <c r="F8" t="str" xml:space="preserve">
        <v> </v>
      </c>
      <c r="G8" t="str">
        <v>UNIN2503030增补2</v>
      </c>
      <c r="H8">
        <v>20260107</v>
      </c>
      <c r="I8" t="str">
        <v>华东</v>
      </c>
      <c r="J8" t="str">
        <v>浙江</v>
      </c>
      <c r="K8" s="124">
        <v>49464</v>
      </c>
      <c r="L8" t="str">
        <v>CNY</v>
      </c>
      <c r="N8" t="str">
        <v>待确认</v>
      </c>
      <c r="P8">
        <f>G8</f>
      </c>
      <c r="Q8" s="125"/>
      <c r="T8">
        <f>B8</f>
      </c>
      <c r="Y8" s="123"/>
      <c r="Z8" s="123"/>
      <c r="AA8" s="123"/>
      <c r="AB8" s="123"/>
      <c r="AC8" s="125"/>
      <c r="AO8">
        <f>K8</f>
      </c>
      <c r="AQ8" s="123">
        <f>AO8/(1+AP8)</f>
      </c>
      <c r="AR8">
        <f>L8</f>
      </c>
    </row>
    <row r="9">
      <c r="A9" t="str">
        <v>国内</v>
      </c>
      <c r="B9" t="str">
        <v>VA</v>
      </c>
      <c r="C9" t="str">
        <v>照明</v>
      </c>
      <c r="D9" t="str" xml:space="preserve">
        <v> </v>
      </c>
      <c r="E9" t="str" xml:space="preserve">
        <v> </v>
      </c>
      <c r="F9" t="str" xml:space="preserve">
        <v> </v>
      </c>
      <c r="G9" t="str">
        <v>UNIN2601002</v>
      </c>
      <c r="H9">
        <v>20260107</v>
      </c>
      <c r="I9" t="str">
        <v>华南</v>
      </c>
      <c r="J9" t="str">
        <v>福建</v>
      </c>
      <c r="K9" s="124">
        <v>157132</v>
      </c>
      <c r="L9" t="str">
        <v>CNY</v>
      </c>
      <c r="N9" t="str">
        <v>待确认</v>
      </c>
      <c r="P9">
        <f>G9</f>
      </c>
      <c r="Q9" s="125"/>
      <c r="T9">
        <f>B9</f>
      </c>
      <c r="Y9" s="123"/>
      <c r="Z9" s="123"/>
      <c r="AA9" s="123"/>
      <c r="AB9" s="123"/>
      <c r="AC9" s="125"/>
      <c r="AO9">
        <f>K9</f>
      </c>
      <c r="AQ9" s="123">
        <f>AO9/(1+AP9)</f>
      </c>
      <c r="AR9">
        <f>L9</f>
      </c>
    </row>
    <row r="10">
      <c r="A10" t="str">
        <v>国内</v>
      </c>
      <c r="B10" t="str">
        <v>VA</v>
      </c>
      <c r="C10" t="str">
        <v>照明</v>
      </c>
      <c r="D10" t="str" xml:space="preserve">
        <v> </v>
      </c>
      <c r="E10" t="str" xml:space="preserve">
        <v> </v>
      </c>
      <c r="F10" t="str" xml:space="preserve">
        <v> </v>
      </c>
      <c r="G10" t="str">
        <v>UNIN2601003</v>
      </c>
      <c r="H10">
        <v>20260107</v>
      </c>
      <c r="I10" t="str">
        <v>华南</v>
      </c>
      <c r="J10" t="str">
        <v>广西</v>
      </c>
      <c r="K10" s="124">
        <v>22560</v>
      </c>
      <c r="L10" t="str">
        <v>CNY</v>
      </c>
      <c r="N10" t="str">
        <v>待确认</v>
      </c>
      <c r="P10">
        <f>G10</f>
      </c>
      <c r="Q10" s="125"/>
      <c r="T10">
        <f>B10</f>
      </c>
      <c r="Y10" s="123"/>
      <c r="Z10" s="123"/>
      <c r="AA10" s="123"/>
      <c r="AB10" s="123"/>
      <c r="AC10" s="125"/>
      <c r="AO10">
        <f>K10</f>
      </c>
      <c r="AQ10" s="123">
        <f>AO10/(1+AP10)</f>
      </c>
      <c r="AR10">
        <f>L10</f>
      </c>
    </row>
    <row r="11">
      <c r="A11" t="str">
        <v>国内</v>
      </c>
      <c r="B11" t="str">
        <v>VA</v>
      </c>
      <c r="C11" t="str">
        <v>照明</v>
      </c>
      <c r="D11" t="str" xml:space="preserve">
        <v> </v>
      </c>
      <c r="E11" t="str" xml:space="preserve">
        <v> </v>
      </c>
      <c r="F11" t="str" xml:space="preserve">
        <v> </v>
      </c>
      <c r="G11" t="str">
        <v>UNIN2601005</v>
      </c>
      <c r="H11">
        <v>20260107</v>
      </c>
      <c r="I11" t="str">
        <v>华南</v>
      </c>
      <c r="J11" t="str">
        <v>广州</v>
      </c>
      <c r="K11" s="124">
        <v>68100</v>
      </c>
      <c r="L11" t="str">
        <v>CNY</v>
      </c>
      <c r="N11" t="str">
        <v>待确认</v>
      </c>
      <c r="P11">
        <f>G11</f>
      </c>
      <c r="Q11" s="125"/>
      <c r="T11">
        <f>B11</f>
      </c>
      <c r="Y11" s="123"/>
      <c r="Z11" s="123"/>
      <c r="AA11" s="123"/>
      <c r="AB11" s="123"/>
      <c r="AC11" s="125"/>
      <c r="AO11">
        <f>K11</f>
      </c>
      <c r="AQ11" s="123">
        <f>AO11/(1+AP11)</f>
      </c>
      <c r="AR11">
        <f>L11</f>
      </c>
    </row>
    <row r="12">
      <c r="A12" t="str">
        <v>国内</v>
      </c>
      <c r="B12" t="str">
        <v>VA</v>
      </c>
      <c r="C12" t="str">
        <v>照明</v>
      </c>
      <c r="D12" t="str" xml:space="preserve">
        <v> </v>
      </c>
      <c r="E12" t="str" xml:space="preserve">
        <v> </v>
      </c>
      <c r="F12" t="str" xml:space="preserve">
        <v> </v>
      </c>
      <c r="G12" t="str">
        <v>UNIN2601007</v>
      </c>
      <c r="H12">
        <v>20260107</v>
      </c>
      <c r="I12" t="str">
        <v>华南</v>
      </c>
      <c r="J12" t="str">
        <v>福建</v>
      </c>
      <c r="K12" s="124">
        <v>32640</v>
      </c>
      <c r="L12" t="str">
        <v>CNY</v>
      </c>
      <c r="N12" t="str">
        <v>待确认</v>
      </c>
      <c r="P12">
        <f>G12</f>
      </c>
      <c r="Q12" s="125"/>
      <c r="T12">
        <f>B12</f>
      </c>
      <c r="Y12" s="123"/>
      <c r="Z12" s="123"/>
      <c r="AA12" s="123"/>
      <c r="AB12" s="123"/>
      <c r="AC12" s="125"/>
      <c r="AO12">
        <f>K12</f>
      </c>
      <c r="AQ12" s="123">
        <f>AO12/(1+AP12)</f>
      </c>
      <c r="AR12">
        <f>L12</f>
      </c>
    </row>
    <row r="13">
      <c r="A13" t="str">
        <v>国内</v>
      </c>
      <c r="B13" t="str">
        <v>VA</v>
      </c>
      <c r="C13" t="str">
        <v>照明</v>
      </c>
      <c r="D13" t="str" xml:space="preserve">
        <v> </v>
      </c>
      <c r="E13" t="str" xml:space="preserve">
        <v> </v>
      </c>
      <c r="F13" t="str" xml:space="preserve">
        <v> </v>
      </c>
      <c r="G13" t="str">
        <v>UNIN2505032增补2</v>
      </c>
      <c r="H13">
        <v>20260106</v>
      </c>
      <c r="I13" t="str">
        <v>西南</v>
      </c>
      <c r="J13" t="str">
        <v>重庆</v>
      </c>
      <c r="K13" s="124">
        <v>33530</v>
      </c>
      <c r="L13" t="str">
        <v>CNY</v>
      </c>
      <c r="N13" t="str">
        <v>待确认</v>
      </c>
      <c r="P13">
        <f>G13</f>
      </c>
      <c r="Q13" s="125"/>
      <c r="T13">
        <f>B13</f>
      </c>
      <c r="Y13" s="123"/>
      <c r="Z13" s="123"/>
      <c r="AA13" s="123"/>
      <c r="AB13" s="123"/>
      <c r="AC13" s="125"/>
      <c r="AO13">
        <f>K13</f>
      </c>
      <c r="AQ13" s="123">
        <f>AO13/(1+AP13)</f>
      </c>
      <c r="AR13">
        <f>L13</f>
      </c>
    </row>
    <row r="14">
      <c r="A14" t="str">
        <v>国内</v>
      </c>
      <c r="B14" t="str">
        <v>VA</v>
      </c>
      <c r="C14" t="str">
        <v>照明</v>
      </c>
      <c r="D14" t="str" xml:space="preserve">
        <v> </v>
      </c>
      <c r="E14" t="str" xml:space="preserve">
        <v> </v>
      </c>
      <c r="F14" t="str" xml:space="preserve">
        <v> </v>
      </c>
      <c r="G14" t="str">
        <v>UNIN2512045</v>
      </c>
      <c r="H14">
        <v>20260106</v>
      </c>
      <c r="I14" t="str">
        <v>华东</v>
      </c>
      <c r="J14" t="str">
        <v>上海</v>
      </c>
      <c r="K14" s="126">
        <v>41624.28</v>
      </c>
      <c r="L14" t="str">
        <v>CNY</v>
      </c>
      <c r="N14" t="str">
        <v>待确认</v>
      </c>
      <c r="P14">
        <f>G14</f>
      </c>
      <c r="Q14" s="125"/>
      <c r="T14">
        <f>B14</f>
      </c>
      <c r="Y14" s="123"/>
      <c r="Z14" s="123"/>
      <c r="AA14" s="123"/>
      <c r="AB14" s="123"/>
      <c r="AC14" s="125"/>
      <c r="AO14">
        <f>K14</f>
      </c>
      <c r="AQ14" s="123">
        <f>AO14/(1+AP14)</f>
      </c>
      <c r="AR14">
        <f>L14</f>
      </c>
    </row>
    <row r="15">
      <c r="A15" t="str">
        <v>国内</v>
      </c>
      <c r="B15" t="str">
        <v>VA</v>
      </c>
      <c r="C15" t="str">
        <v>照明</v>
      </c>
      <c r="D15" t="str" xml:space="preserve">
        <v> </v>
      </c>
      <c r="E15" t="str" xml:space="preserve">
        <v> </v>
      </c>
      <c r="F15" t="str" xml:space="preserve">
        <v> </v>
      </c>
      <c r="G15" t="str">
        <v>UNIN2508010增补1</v>
      </c>
      <c r="H15">
        <v>20260106</v>
      </c>
      <c r="I15" t="str">
        <v>华东</v>
      </c>
      <c r="J15" t="str">
        <v>安徽</v>
      </c>
      <c r="K15" s="124">
        <v>87016</v>
      </c>
      <c r="L15" t="str">
        <v>CNY</v>
      </c>
      <c r="N15" t="str">
        <v>待确认</v>
      </c>
      <c r="P15">
        <f>G15</f>
      </c>
      <c r="Q15" s="125"/>
      <c r="T15">
        <f>B15</f>
      </c>
      <c r="Y15" s="123"/>
      <c r="Z15" s="123"/>
      <c r="AA15" s="123"/>
      <c r="AB15" s="123"/>
      <c r="AC15" s="125"/>
      <c r="AO15">
        <f>K15</f>
      </c>
      <c r="AQ15" s="123">
        <f>AO15/(1+AP15)</f>
      </c>
      <c r="AR15">
        <f>L15</f>
      </c>
    </row>
    <row r="16">
      <c r="A16" t="str">
        <v>国内</v>
      </c>
      <c r="B16" t="str">
        <v>VA</v>
      </c>
      <c r="C16" t="str">
        <v>照明</v>
      </c>
      <c r="D16" t="str" xml:space="preserve">
        <v> </v>
      </c>
      <c r="E16" t="str" xml:space="preserve">
        <v> </v>
      </c>
      <c r="F16" t="str" xml:space="preserve">
        <v> </v>
      </c>
      <c r="G16" t="str">
        <v>UNIN2512044</v>
      </c>
      <c r="H16">
        <v>20260106</v>
      </c>
      <c r="I16" t="str">
        <v>华南</v>
      </c>
      <c r="J16" t="str">
        <v>广州</v>
      </c>
      <c r="K16" s="124">
        <v>13500</v>
      </c>
      <c r="L16" t="str">
        <v>CNY</v>
      </c>
      <c r="N16" t="str">
        <v>待确认</v>
      </c>
      <c r="P16">
        <f>G16</f>
      </c>
      <c r="Q16" s="125"/>
      <c r="T16">
        <f>B16</f>
      </c>
      <c r="Y16" s="123"/>
      <c r="Z16" s="123"/>
      <c r="AA16" s="123"/>
      <c r="AB16" s="123"/>
      <c r="AC16" s="125"/>
      <c r="AO16">
        <f>K16</f>
      </c>
      <c r="AQ16" s="123">
        <f>AO16/(1+AP16)</f>
      </c>
      <c r="AR16">
        <f>L16</f>
      </c>
    </row>
    <row r="17">
      <c r="A17" t="str">
        <v>国内</v>
      </c>
      <c r="B17" t="str">
        <v>VA</v>
      </c>
      <c r="C17" t="str">
        <v>照明</v>
      </c>
      <c r="D17" t="str" xml:space="preserve">
        <v> </v>
      </c>
      <c r="E17" t="str" xml:space="preserve">
        <v> </v>
      </c>
      <c r="F17" t="str" xml:space="preserve">
        <v> </v>
      </c>
      <c r="G17" t="str">
        <v>UNIN2508050增补5</v>
      </c>
      <c r="H17">
        <v>20260105</v>
      </c>
      <c r="I17" t="str">
        <v>西南</v>
      </c>
      <c r="J17" t="str">
        <v>云南</v>
      </c>
      <c r="K17" s="124">
        <v>2750</v>
      </c>
      <c r="L17" t="str">
        <v>CNY</v>
      </c>
      <c r="N17" t="str">
        <v>待确认</v>
      </c>
      <c r="P17">
        <f>G17</f>
      </c>
      <c r="Q17" s="125"/>
      <c r="T17">
        <f>B17</f>
      </c>
      <c r="Y17" s="123"/>
      <c r="Z17" s="123"/>
      <c r="AA17" s="123"/>
      <c r="AB17" s="123"/>
      <c r="AC17" s="125"/>
      <c r="AO17">
        <f>K17</f>
      </c>
      <c r="AQ17" s="123">
        <f>AO17/(1+AP17)</f>
      </c>
      <c r="AR17">
        <f>L17</f>
      </c>
    </row>
    <row r="18">
      <c r="A18" t="str">
        <v>国内</v>
      </c>
      <c r="B18" t="str">
        <v>VA</v>
      </c>
      <c r="C18" t="str">
        <v>照明</v>
      </c>
      <c r="D18" t="str" xml:space="preserve">
        <v> </v>
      </c>
      <c r="E18" t="str" xml:space="preserve">
        <v> </v>
      </c>
      <c r="F18" t="str" xml:space="preserve">
        <v> </v>
      </c>
      <c r="G18" t="str">
        <v>UNIN2512046</v>
      </c>
      <c r="H18">
        <v>20260105</v>
      </c>
      <c r="I18" t="str">
        <v>西南</v>
      </c>
      <c r="J18" t="str">
        <v>贵州</v>
      </c>
      <c r="K18" s="124">
        <v>3998</v>
      </c>
      <c r="L18" t="str">
        <v>CNY</v>
      </c>
      <c r="N18" t="str">
        <v>待确认</v>
      </c>
      <c r="P18">
        <f>G18</f>
      </c>
      <c r="Q18" s="125"/>
      <c r="T18">
        <f>B18</f>
      </c>
      <c r="Y18" s="123"/>
      <c r="Z18" s="123"/>
      <c r="AA18" s="123"/>
      <c r="AB18" s="123"/>
      <c r="AC18" s="125"/>
      <c r="AO18">
        <f>K18</f>
      </c>
      <c r="AQ18" s="123">
        <f>AO18/(1+AP18)</f>
      </c>
      <c r="AR18">
        <f>L18</f>
      </c>
    </row>
    <row r="19">
      <c r="A19" t="str">
        <v>国内</v>
      </c>
      <c r="B19" t="str">
        <v>VA</v>
      </c>
      <c r="C19" t="str">
        <v>照明</v>
      </c>
      <c r="D19" t="str" xml:space="preserve">
        <v> </v>
      </c>
      <c r="E19" t="str" xml:space="preserve">
        <v> </v>
      </c>
      <c r="F19" t="str" xml:space="preserve">
        <v> </v>
      </c>
      <c r="G19" t="str">
        <v>UNIN2512038</v>
      </c>
      <c r="H19">
        <v>20260105</v>
      </c>
      <c r="I19" t="str">
        <v>华东</v>
      </c>
      <c r="J19" t="str">
        <v>上海</v>
      </c>
      <c r="K19" s="126">
        <v>4558.4</v>
      </c>
      <c r="L19" t="str">
        <v>CNY</v>
      </c>
      <c r="N19" t="str">
        <v>待确认</v>
      </c>
      <c r="P19">
        <f>G19</f>
      </c>
      <c r="Q19" s="125"/>
      <c r="T19">
        <f>B19</f>
      </c>
      <c r="Y19" s="123"/>
      <c r="Z19" s="123"/>
      <c r="AA19" s="123"/>
      <c r="AB19" s="123"/>
      <c r="AC19" s="125"/>
      <c r="AO19">
        <f>K19</f>
      </c>
      <c r="AQ19" s="123">
        <f>AO19/(1+AP19)</f>
      </c>
      <c r="AR19">
        <f>L19</f>
      </c>
    </row>
    <row r="20">
      <c r="A20" t="str">
        <v>国内</v>
      </c>
      <c r="B20" t="str">
        <v>VA</v>
      </c>
      <c r="C20" t="str">
        <v>照明</v>
      </c>
      <c r="D20" t="str" xml:space="preserve">
        <v> </v>
      </c>
      <c r="E20" t="str" xml:space="preserve">
        <v> </v>
      </c>
      <c r="F20" t="str" xml:space="preserve">
        <v> </v>
      </c>
      <c r="G20" t="str">
        <v>UNIN2601001</v>
      </c>
      <c r="H20">
        <v>20260105</v>
      </c>
      <c r="I20" t="str">
        <v>华东</v>
      </c>
      <c r="J20" t="str">
        <v>江苏</v>
      </c>
      <c r="K20" s="124">
        <v>4185</v>
      </c>
      <c r="L20" t="str">
        <v>CNY</v>
      </c>
      <c r="N20" t="str">
        <v>待确认</v>
      </c>
      <c r="P20">
        <f>G20</f>
      </c>
      <c r="Q20" s="125"/>
      <c r="T20">
        <f>B20</f>
      </c>
      <c r="Y20" s="123"/>
      <c r="Z20" s="123"/>
      <c r="AA20" s="123"/>
      <c r="AB20" s="123"/>
      <c r="AC20" s="125"/>
      <c r="AO20">
        <f>K20</f>
      </c>
      <c r="AQ20" s="123">
        <f>AO20/(1+AP20)</f>
      </c>
      <c r="AR20">
        <f>L20</f>
      </c>
    </row>
    <row r="21">
      <c r="A21" t="str">
        <v>国内</v>
      </c>
      <c r="B21" t="str">
        <v>VA</v>
      </c>
      <c r="C21" t="str">
        <v>照明</v>
      </c>
      <c r="D21" t="str" xml:space="preserve">
        <v> </v>
      </c>
      <c r="E21" t="str" xml:space="preserve">
        <v> </v>
      </c>
      <c r="F21" t="str" xml:space="preserve">
        <v> </v>
      </c>
      <c r="G21" t="str">
        <v>UNIN2510011</v>
      </c>
      <c r="H21">
        <v>20260105</v>
      </c>
      <c r="I21" t="str">
        <v>华南</v>
      </c>
      <c r="J21" t="str">
        <v>深圳</v>
      </c>
      <c r="K21" s="124">
        <v>3801922</v>
      </c>
      <c r="L21" t="str">
        <v>CNY</v>
      </c>
      <c r="N21" t="str">
        <v>待确认</v>
      </c>
      <c r="P21">
        <f>G21</f>
      </c>
      <c r="Q21" s="125"/>
      <c r="T21">
        <f>B21</f>
      </c>
      <c r="Y21" s="123"/>
      <c r="Z21" s="123"/>
      <c r="AA21" s="123"/>
      <c r="AB21" s="123"/>
      <c r="AC21" s="125"/>
      <c r="AO21">
        <f>K21</f>
      </c>
      <c r="AQ21" s="123">
        <f>AO21/(1+AP21)</f>
      </c>
      <c r="AR21">
        <f>L21</f>
      </c>
    </row>
    <row r="22">
      <c r="A22" t="str">
        <v>国内</v>
      </c>
      <c r="B22" t="str">
        <v>VA</v>
      </c>
      <c r="C22" t="str">
        <v>照明</v>
      </c>
      <c r="D22" t="str" xml:space="preserve">
        <v> </v>
      </c>
      <c r="E22" t="str" xml:space="preserve">
        <v> </v>
      </c>
      <c r="F22" t="str" xml:space="preserve">
        <v> </v>
      </c>
      <c r="G22" t="str">
        <v>UNIN2512035</v>
      </c>
      <c r="H22">
        <v>20260105</v>
      </c>
      <c r="I22" t="str">
        <v>华东</v>
      </c>
      <c r="J22" t="str">
        <v>上海</v>
      </c>
      <c r="K22" s="126">
        <v>20118.56</v>
      </c>
      <c r="L22" t="str">
        <v>CNY</v>
      </c>
      <c r="N22" t="str">
        <v>待确认</v>
      </c>
      <c r="P22">
        <f>G22</f>
      </c>
      <c r="Q22" s="125"/>
      <c r="T22">
        <f>B22</f>
      </c>
      <c r="Y22" s="123"/>
      <c r="Z22" s="123"/>
      <c r="AA22" s="123"/>
      <c r="AB22" s="123"/>
      <c r="AC22" s="125"/>
      <c r="AO22">
        <f>K22</f>
      </c>
      <c r="AQ22" s="123">
        <f>AO22/(1+AP22)</f>
      </c>
      <c r="AR22">
        <f>L22</f>
      </c>
    </row>
    <row r="23">
      <c r="A23" t="str">
        <v>国内</v>
      </c>
      <c r="B23" t="str">
        <v>VA</v>
      </c>
      <c r="C23" t="str">
        <v>照明</v>
      </c>
      <c r="D23" t="str" xml:space="preserve">
        <v> </v>
      </c>
      <c r="E23" t="str" xml:space="preserve">
        <v> </v>
      </c>
      <c r="F23" t="str" xml:space="preserve">
        <v> </v>
      </c>
      <c r="G23" t="str">
        <v>UNIN2512048</v>
      </c>
      <c r="H23">
        <v>20260105</v>
      </c>
      <c r="I23" t="str">
        <v>华南</v>
      </c>
      <c r="J23" t="str">
        <v>深圳</v>
      </c>
      <c r="K23" s="124">
        <v>8835</v>
      </c>
      <c r="L23" t="str">
        <v>CNY</v>
      </c>
      <c r="N23" t="str">
        <v>待确认</v>
      </c>
      <c r="P23">
        <f>G23</f>
      </c>
      <c r="Q23" s="125"/>
      <c r="T23">
        <f>B23</f>
      </c>
      <c r="Y23" s="123"/>
      <c r="Z23" s="123"/>
      <c r="AA23" s="123"/>
      <c r="AB23" s="123"/>
      <c r="AC23" s="125"/>
      <c r="AO23">
        <f>K23</f>
      </c>
      <c r="AQ23" s="123">
        <f>AO23/(1+AP23)</f>
      </c>
      <c r="AR23">
        <f>L23</f>
      </c>
    </row>
    <row r="24">
      <c r="A24" t="str">
        <v>国内</v>
      </c>
      <c r="B24" t="str">
        <v>VA</v>
      </c>
      <c r="C24" t="str">
        <v>照明</v>
      </c>
      <c r="D24" t="str" xml:space="preserve">
        <v> </v>
      </c>
      <c r="E24" t="str" xml:space="preserve">
        <v> </v>
      </c>
      <c r="F24" t="str" xml:space="preserve">
        <v> </v>
      </c>
      <c r="G24" t="str">
        <v>UNIN2511029</v>
      </c>
      <c r="H24">
        <v>20260105</v>
      </c>
      <c r="I24" t="str">
        <v>华中</v>
      </c>
      <c r="J24" t="str">
        <v>江西</v>
      </c>
      <c r="K24" s="124">
        <v>862500</v>
      </c>
      <c r="L24" t="str">
        <v>CNY</v>
      </c>
      <c r="N24" t="str">
        <v>待确认</v>
      </c>
      <c r="P24">
        <f>G24</f>
      </c>
      <c r="Q24" s="125"/>
      <c r="T24">
        <f>B24</f>
      </c>
      <c r="Y24" s="123"/>
      <c r="Z24" s="123"/>
      <c r="AA24" s="123"/>
      <c r="AB24" s="123"/>
      <c r="AC24" s="125"/>
      <c r="AO24">
        <f>K24</f>
      </c>
      <c r="AQ24" s="123">
        <f>AO24/(1+AP24)</f>
      </c>
      <c r="AR24">
        <f>L24</f>
      </c>
    </row>
    <row r="25">
      <c r="A25" t="str">
        <v>国内</v>
      </c>
      <c r="B25" t="str">
        <v>VA</v>
      </c>
      <c r="C25" t="str">
        <v>照明</v>
      </c>
      <c r="D25" t="str" xml:space="preserve">
        <v> </v>
      </c>
      <c r="E25" t="str" xml:space="preserve">
        <v> </v>
      </c>
      <c r="F25" t="str" xml:space="preserve">
        <v> </v>
      </c>
      <c r="G25" t="str">
        <v>UNIN2512043</v>
      </c>
      <c r="H25">
        <v>20260104</v>
      </c>
      <c r="I25" t="str">
        <v>华东</v>
      </c>
      <c r="J25" t="str">
        <v>上海</v>
      </c>
      <c r="K25" s="126">
        <v>87185.5</v>
      </c>
      <c r="L25" t="str">
        <v>CNY</v>
      </c>
      <c r="N25" t="str">
        <v>待确认</v>
      </c>
      <c r="P25">
        <f>G25</f>
      </c>
      <c r="Q25" s="125"/>
      <c r="T25">
        <f>B25</f>
      </c>
      <c r="Y25" s="123"/>
      <c r="Z25" s="123"/>
      <c r="AA25" s="123"/>
      <c r="AB25" s="123"/>
      <c r="AC25" s="125"/>
      <c r="AO25">
        <f>K25</f>
      </c>
      <c r="AQ25" s="123">
        <f>AO25/(1+AP25)</f>
      </c>
      <c r="AR25">
        <f>L25</f>
      </c>
    </row>
    <row r="26">
      <c r="A26" t="str">
        <v>国内</v>
      </c>
      <c r="B26" t="str">
        <v>VA</v>
      </c>
      <c r="C26" t="str">
        <v>照明</v>
      </c>
      <c r="D26" t="str" xml:space="preserve">
        <v> </v>
      </c>
      <c r="E26" t="str" xml:space="preserve">
        <v> </v>
      </c>
      <c r="F26" t="str" xml:space="preserve">
        <v> </v>
      </c>
      <c r="G26" t="str" xml:space="preserve">
        <v> UNIN2512015</v>
      </c>
      <c r="H26">
        <v>20260104</v>
      </c>
      <c r="I26" t="str">
        <v>华东</v>
      </c>
      <c r="J26" t="str">
        <v>上海</v>
      </c>
      <c r="K26" s="126">
        <v>64132.42</v>
      </c>
      <c r="L26" t="str">
        <v>CNY</v>
      </c>
      <c r="N26" t="str">
        <v>待确认</v>
      </c>
      <c r="P26">
        <f>G26</f>
      </c>
      <c r="Q26" s="125"/>
      <c r="T26">
        <f>B26</f>
      </c>
      <c r="Y26" s="123"/>
      <c r="Z26" s="123"/>
      <c r="AA26" s="123"/>
      <c r="AB26" s="123"/>
      <c r="AC26" s="125"/>
      <c r="AO26">
        <f>K26</f>
      </c>
      <c r="AQ26" s="123">
        <f>AO26/(1+AP26)</f>
      </c>
      <c r="AR26">
        <f>L26</f>
      </c>
    </row>
    <row r="27">
      <c r="A27" t="str">
        <v>国内</v>
      </c>
      <c r="B27" t="str">
        <v>VA</v>
      </c>
      <c r="C27" t="str">
        <v>新显示</v>
      </c>
      <c r="D27" t="str" xml:space="preserve">
        <v> </v>
      </c>
      <c r="E27" t="str" xml:space="preserve">
        <v> </v>
      </c>
      <c r="F27" t="str" xml:space="preserve">
        <v> </v>
      </c>
      <c r="G27" t="str">
        <v>AUN2F5218B</v>
      </c>
      <c r="H27">
        <v>20251229</v>
      </c>
      <c r="I27" t="str">
        <v>华东</v>
      </c>
      <c r="J27" t="str">
        <v>安徽</v>
      </c>
      <c r="K27" s="126">
        <v>165130.28</v>
      </c>
      <c r="L27" t="str">
        <v>CNY</v>
      </c>
      <c r="N27" t="str">
        <v>待确认</v>
      </c>
      <c r="P27">
        <f>G27</f>
      </c>
      <c r="Q27" s="125"/>
      <c r="T27">
        <f>B27</f>
      </c>
      <c r="Y27" s="123"/>
      <c r="Z27" s="123"/>
      <c r="AA27" s="123"/>
      <c r="AB27" s="123"/>
      <c r="AC27" s="125"/>
      <c r="AO27">
        <f>K27</f>
      </c>
      <c r="AQ27" s="123">
        <f>AO27/(1+AP27)</f>
      </c>
      <c r="AR27">
        <f>L27</f>
      </c>
    </row>
    <row r="28">
      <c r="A28" t="str">
        <v>国内</v>
      </c>
      <c r="B28" t="str">
        <v>VA</v>
      </c>
      <c r="C28" t="str">
        <v>新显示</v>
      </c>
      <c r="D28" t="str" xml:space="preserve">
        <v> </v>
      </c>
      <c r="E28" t="str" xml:space="preserve">
        <v> </v>
      </c>
      <c r="F28" t="str" xml:space="preserve">
        <v> </v>
      </c>
      <c r="G28" t="str">
        <v>AUN2F5218A</v>
      </c>
      <c r="H28">
        <v>20251229</v>
      </c>
      <c r="I28" t="str">
        <v>华东</v>
      </c>
      <c r="J28" t="str">
        <v>安徽</v>
      </c>
      <c r="K28" s="126">
        <v>155713.67</v>
      </c>
      <c r="L28" t="str">
        <v>CNY</v>
      </c>
      <c r="N28" t="str">
        <v>待确认</v>
      </c>
      <c r="P28">
        <f>G28</f>
      </c>
      <c r="Q28" s="125"/>
      <c r="T28">
        <f>B28</f>
      </c>
      <c r="Y28" s="123"/>
      <c r="Z28" s="123"/>
      <c r="AA28" s="123"/>
      <c r="AB28" s="123"/>
      <c r="AC28" s="125"/>
      <c r="AO28">
        <f>K28</f>
      </c>
      <c r="AQ28" s="123">
        <f>AO28/(1+AP28)</f>
      </c>
      <c r="AR28">
        <f>L28</f>
      </c>
    </row>
    <row r="29">
      <c r="A29" t="str">
        <v>国内</v>
      </c>
      <c r="B29" t="str">
        <v>VA</v>
      </c>
      <c r="C29" t="str">
        <v>创意文创</v>
      </c>
      <c r="D29" t="str">
        <v>创意</v>
      </c>
      <c r="E29" t="str" xml:space="preserve">
        <v> </v>
      </c>
      <c r="F29" t="str" xml:space="preserve">
        <v> </v>
      </c>
      <c r="G29" t="str" xml:space="preserve">
        <v>AUL2F4410D  </v>
      </c>
      <c r="H29">
        <v>20251217</v>
      </c>
      <c r="I29" t="str">
        <v>西南</v>
      </c>
      <c r="J29" t="str">
        <v>四川</v>
      </c>
      <c r="K29" s="124">
        <v>9410947</v>
      </c>
      <c r="L29" t="str">
        <v>CNY</v>
      </c>
      <c r="N29" t="str">
        <v>待确认</v>
      </c>
      <c r="P29">
        <f>G29</f>
      </c>
      <c r="Q29" s="125"/>
      <c r="T29">
        <f>B29</f>
      </c>
      <c r="Y29" s="123"/>
      <c r="Z29" s="123"/>
      <c r="AA29" s="123"/>
      <c r="AB29" s="123"/>
      <c r="AC29" s="125"/>
      <c r="AO29">
        <f>K29</f>
      </c>
      <c r="AQ29" s="123">
        <f>AO29/(1+AP29)</f>
      </c>
      <c r="AR29">
        <f>L29</f>
      </c>
    </row>
    <row r="30">
      <c r="A30" t="str">
        <v>国内</v>
      </c>
      <c r="B30" t="str">
        <v>VA</v>
      </c>
      <c r="C30" t="str">
        <v>创意文创</v>
      </c>
      <c r="D30" t="str">
        <v>创意</v>
      </c>
      <c r="E30" t="str" xml:space="preserve">
        <v> </v>
      </c>
      <c r="F30" t="str" xml:space="preserve">
        <v> </v>
      </c>
      <c r="G30" t="str">
        <v>AUL2F4410B</v>
      </c>
      <c r="H30">
        <v>20251217</v>
      </c>
      <c r="I30" t="str">
        <v>西南</v>
      </c>
      <c r="J30" t="str">
        <v>四川</v>
      </c>
      <c r="K30" s="124">
        <v>495313</v>
      </c>
      <c r="L30" t="str">
        <v>CNY</v>
      </c>
      <c r="N30" t="str">
        <v>待确认</v>
      </c>
      <c r="P30">
        <f>G30</f>
      </c>
      <c r="Q30" s="125"/>
      <c r="T30">
        <f>B30</f>
      </c>
      <c r="Y30" s="123"/>
      <c r="Z30" s="123"/>
      <c r="AA30" s="123"/>
      <c r="AB30" s="123"/>
      <c r="AC30" s="125"/>
      <c r="AO30">
        <f>K30</f>
      </c>
      <c r="AQ30" s="123">
        <f>AO30/(1+AP30)</f>
      </c>
      <c r="AR30">
        <f>L30</f>
      </c>
    </row>
    <row r="31">
      <c r="A31" t="str">
        <v>国内</v>
      </c>
      <c r="B31" t="str">
        <v>VA</v>
      </c>
      <c r="C31" t="str">
        <v>创意文创</v>
      </c>
      <c r="D31" t="str">
        <v>创意</v>
      </c>
      <c r="E31" t="str" xml:space="preserve">
        <v> </v>
      </c>
      <c r="F31" t="str" xml:space="preserve">
        <v> </v>
      </c>
      <c r="G31" t="str">
        <v>AUL2F4410A</v>
      </c>
      <c r="H31">
        <v>20251217</v>
      </c>
      <c r="I31" t="str">
        <v>西南</v>
      </c>
      <c r="J31" t="str">
        <v>四川</v>
      </c>
      <c r="K31" s="124">
        <v>1485939</v>
      </c>
      <c r="L31" t="str">
        <v>CNY</v>
      </c>
      <c r="N31" t="str">
        <v>待确认</v>
      </c>
      <c r="P31">
        <f>G31</f>
      </c>
      <c r="Q31" s="125"/>
      <c r="T31">
        <f>B31</f>
      </c>
      <c r="Y31" s="123"/>
      <c r="Z31" s="123"/>
      <c r="AA31" s="123"/>
      <c r="AB31" s="123"/>
      <c r="AC31" s="125"/>
      <c r="AO31">
        <f>K31</f>
      </c>
      <c r="AQ31" s="123">
        <f>AO31/(1+AP31)</f>
      </c>
      <c r="AR31">
        <f>L31</f>
      </c>
    </row>
    <row r="32">
      <c r="A32" t="str">
        <v>国内</v>
      </c>
      <c r="B32" t="str">
        <v>VA</v>
      </c>
      <c r="C32" t="str">
        <v>创意文创</v>
      </c>
      <c r="D32" t="str">
        <v>创意</v>
      </c>
      <c r="E32" t="str" xml:space="preserve">
        <v> </v>
      </c>
      <c r="F32" t="str" xml:space="preserve">
        <v> </v>
      </c>
      <c r="G32" t="str">
        <v>AUL2F4410C-P</v>
      </c>
      <c r="H32">
        <v>20251217</v>
      </c>
      <c r="I32" t="str">
        <v>西南</v>
      </c>
      <c r="J32" t="str">
        <v>四川</v>
      </c>
      <c r="K32" s="124">
        <v>4953130</v>
      </c>
      <c r="L32" t="str">
        <v>CNY</v>
      </c>
      <c r="N32" t="str">
        <v>待确认</v>
      </c>
      <c r="P32">
        <f>G32</f>
      </c>
      <c r="Q32" s="125"/>
      <c r="T32">
        <f>B32</f>
      </c>
      <c r="Y32" s="123"/>
      <c r="Z32" s="123"/>
      <c r="AA32" s="123"/>
      <c r="AB32" s="123"/>
      <c r="AC32" s="125"/>
      <c r="AO32">
        <f>K32</f>
      </c>
      <c r="AQ32" s="123">
        <f>AO32/(1+AP32)</f>
      </c>
      <c r="AR32">
        <f>L32</f>
      </c>
    </row>
    <row r="33">
      <c r="A33" t="str">
        <v>国内</v>
      </c>
      <c r="B33" t="str">
        <v>VA</v>
      </c>
      <c r="C33" t="str">
        <v>创意文创</v>
      </c>
      <c r="D33" t="str">
        <v>创意</v>
      </c>
      <c r="E33" t="str" xml:space="preserve">
        <v> </v>
      </c>
      <c r="F33" t="str" xml:space="preserve">
        <v> </v>
      </c>
      <c r="G33" t="str">
        <v>AUL2F4410C</v>
      </c>
      <c r="H33">
        <v>20251217</v>
      </c>
      <c r="I33" t="str">
        <v>西南</v>
      </c>
      <c r="J33" t="str">
        <v>四川</v>
      </c>
      <c r="K33" s="124">
        <v>3467191</v>
      </c>
      <c r="L33" t="str">
        <v>CNY</v>
      </c>
      <c r="N33" t="str">
        <v>待确认</v>
      </c>
      <c r="P33">
        <f>G33</f>
      </c>
      <c r="Q33" s="125"/>
      <c r="T33">
        <f>B33</f>
      </c>
      <c r="Y33" s="123"/>
      <c r="Z33" s="123"/>
      <c r="AA33" s="123"/>
      <c r="AB33" s="123"/>
      <c r="AC33" s="125"/>
      <c r="AO33">
        <f>K33</f>
      </c>
      <c r="AQ33" s="123">
        <f>AO33/(1+AP33)</f>
      </c>
      <c r="AR33">
        <f>L33</f>
      </c>
    </row>
    <row r="34">
      <c r="A34" t="str">
        <v>国内</v>
      </c>
      <c r="B34" t="str">
        <v>VA</v>
      </c>
      <c r="C34" t="str">
        <v>新显示</v>
      </c>
      <c r="D34" t="str" xml:space="preserve">
        <v> </v>
      </c>
      <c r="E34" t="str" xml:space="preserve">
        <v> </v>
      </c>
      <c r="F34" t="str" xml:space="preserve">
        <v> </v>
      </c>
      <c r="G34" t="str">
        <v>BUPB251753D</v>
      </c>
      <c r="H34">
        <v>20250606</v>
      </c>
      <c r="I34" t="str">
        <v>华北</v>
      </c>
      <c r="J34" t="str">
        <v>北京</v>
      </c>
      <c r="K34" s="126">
        <v>-56720.4</v>
      </c>
      <c r="L34" t="str">
        <v>CNY</v>
      </c>
      <c r="N34" t="str">
        <v>待确认</v>
      </c>
      <c r="P34">
        <f>G34</f>
      </c>
      <c r="Q34" s="125"/>
      <c r="T34">
        <f>B34</f>
      </c>
      <c r="Y34" s="123"/>
      <c r="Z34" s="123"/>
      <c r="AA34" s="123"/>
      <c r="AB34" s="123"/>
      <c r="AC34" s="125"/>
      <c r="AO34">
        <f>K34</f>
      </c>
      <c r="AQ34" s="123">
        <f>AO34/(1+AP34)</f>
      </c>
      <c r="AR34">
        <f>L34</f>
      </c>
    </row>
    <row r="35">
      <c r="A35" t="str">
        <v>国内</v>
      </c>
      <c r="B35" t="str">
        <v>VA</v>
      </c>
      <c r="C35" t="str">
        <v>新显示</v>
      </c>
      <c r="D35" t="str" xml:space="preserve">
        <v> </v>
      </c>
      <c r="E35" t="str" xml:space="preserve">
        <v> </v>
      </c>
      <c r="F35" t="str" xml:space="preserve">
        <v> </v>
      </c>
      <c r="G35" t="str">
        <v>BUPB251753E</v>
      </c>
      <c r="H35">
        <v>20250606</v>
      </c>
      <c r="I35" t="str">
        <v>华北</v>
      </c>
      <c r="J35" t="str">
        <v>北京</v>
      </c>
      <c r="K35" s="126">
        <v>-34032.3</v>
      </c>
      <c r="L35" t="str">
        <v>CNY</v>
      </c>
      <c r="N35" t="str">
        <v>待确认</v>
      </c>
      <c r="P35">
        <f>G35</f>
      </c>
      <c r="Q35" s="125"/>
      <c r="T35">
        <f>B35</f>
      </c>
      <c r="Y35" s="123"/>
      <c r="Z35" s="123"/>
      <c r="AA35" s="123"/>
      <c r="AB35" s="123"/>
      <c r="AC35" s="125"/>
      <c r="AO35">
        <f>K35</f>
      </c>
      <c r="AQ35" s="123">
        <f>AO35/(1+AP35)</f>
      </c>
      <c r="AR35">
        <f>L35</f>
      </c>
    </row>
    <row r="36">
      <c r="A36" t="str">
        <v>国内</v>
      </c>
      <c r="B36" t="str">
        <v>VA</v>
      </c>
      <c r="C36" t="str">
        <v>新显示</v>
      </c>
      <c r="D36" t="str" xml:space="preserve">
        <v> </v>
      </c>
      <c r="E36" t="str" xml:space="preserve">
        <v> </v>
      </c>
      <c r="F36" t="str" xml:space="preserve">
        <v> </v>
      </c>
      <c r="G36" t="str">
        <v>BUPB251753C</v>
      </c>
      <c r="H36">
        <v>20250606</v>
      </c>
      <c r="I36" t="str">
        <v>华北</v>
      </c>
      <c r="J36" t="str">
        <v>北京</v>
      </c>
      <c r="K36" s="126">
        <v>-39704.1</v>
      </c>
      <c r="L36" t="str">
        <v>CNY</v>
      </c>
      <c r="N36" t="str">
        <v>待确认</v>
      </c>
      <c r="P36">
        <f>G36</f>
      </c>
      <c r="Q36" s="125"/>
      <c r="T36">
        <f>B36</f>
      </c>
      <c r="Y36" s="123"/>
      <c r="Z36" s="123"/>
      <c r="AA36" s="123"/>
      <c r="AB36" s="123"/>
      <c r="AC36" s="125"/>
      <c r="AO36">
        <f>K36</f>
      </c>
      <c r="AQ36" s="123">
        <f>AO36/(1+AP36)</f>
      </c>
      <c r="AR36">
        <f>L36</f>
      </c>
    </row>
    <row r="37">
      <c r="A37" t="str">
        <v>国内</v>
      </c>
      <c r="B37" t="str">
        <v>VA</v>
      </c>
      <c r="C37" t="str">
        <v>新显示</v>
      </c>
      <c r="D37" t="str" xml:space="preserve">
        <v> </v>
      </c>
      <c r="E37" t="str" xml:space="preserve">
        <v> </v>
      </c>
      <c r="F37" t="str" xml:space="preserve">
        <v> </v>
      </c>
      <c r="G37" t="str">
        <v>BUPB251753A</v>
      </c>
      <c r="H37">
        <v>20250606</v>
      </c>
      <c r="I37" t="str">
        <v>华北</v>
      </c>
      <c r="J37" t="str">
        <v>北京</v>
      </c>
      <c r="K37" s="126">
        <v>-111171.6</v>
      </c>
      <c r="L37" t="str">
        <v>CNY</v>
      </c>
      <c r="N37" t="str">
        <v>待确认</v>
      </c>
      <c r="P37">
        <f>G37</f>
      </c>
      <c r="Q37" s="125"/>
      <c r="T37">
        <f>B37</f>
      </c>
      <c r="Y37" s="123"/>
      <c r="Z37" s="123"/>
      <c r="AA37" s="123"/>
      <c r="AB37" s="123"/>
      <c r="AC37" s="125"/>
      <c r="AO37">
        <f>K37</f>
      </c>
      <c r="AQ37" s="123">
        <f>AO37/(1+AP37)</f>
      </c>
      <c r="AR37">
        <f>L37</f>
      </c>
    </row>
    <row r="38">
      <c r="A38" t="str">
        <v>国内</v>
      </c>
      <c r="B38" t="str">
        <v>VA</v>
      </c>
      <c r="C38" t="str">
        <v>新显示</v>
      </c>
      <c r="D38" t="str" xml:space="preserve">
        <v> </v>
      </c>
      <c r="E38" t="str" xml:space="preserve">
        <v> </v>
      </c>
      <c r="F38" t="str" xml:space="preserve">
        <v> </v>
      </c>
      <c r="G38" t="str">
        <v>BUPB251753B</v>
      </c>
      <c r="H38">
        <v>20250606</v>
      </c>
      <c r="I38" t="str">
        <v>华北</v>
      </c>
      <c r="J38" t="str">
        <v>北京</v>
      </c>
      <c r="K38" s="126">
        <v>-111171.6</v>
      </c>
      <c r="L38" t="str">
        <v>CNY</v>
      </c>
      <c r="N38" t="str">
        <v>待确认</v>
      </c>
      <c r="P38">
        <f>G38</f>
      </c>
      <c r="Q38" s="125"/>
      <c r="T38">
        <f>B38</f>
      </c>
      <c r="Y38" s="123"/>
      <c r="Z38" s="123"/>
      <c r="AA38" s="123"/>
      <c r="AB38" s="123"/>
      <c r="AC38" s="125"/>
      <c r="AO38">
        <f>K38</f>
      </c>
      <c r="AQ38" s="123">
        <f>AO38/(1+AP38)</f>
      </c>
      <c r="AR38">
        <f>L38</f>
      </c>
    </row>
    <row r="39">
      <c r="A39" t="str">
        <v>国内</v>
      </c>
      <c r="B39" t="str">
        <v>VA</v>
      </c>
      <c r="C39" t="str">
        <v>文创</v>
      </c>
      <c r="D39" t="str" xml:space="preserve">
        <v> </v>
      </c>
      <c r="E39" t="str" xml:space="preserve">
        <v> </v>
      </c>
      <c r="F39" t="str" xml:space="preserve">
        <v> </v>
      </c>
      <c r="G39" t="str">
        <v>JW20240823-C019</v>
      </c>
      <c r="H39">
        <v>20240926</v>
      </c>
      <c r="I39" t="str">
        <v>华南</v>
      </c>
      <c r="J39" t="str">
        <v>深圳</v>
      </c>
      <c r="K39" s="126">
        <v>1666.5</v>
      </c>
      <c r="L39" t="str">
        <v>CNY</v>
      </c>
      <c r="N39" t="str">
        <v>待确认</v>
      </c>
      <c r="P39">
        <f>G39</f>
      </c>
      <c r="Q39" s="125"/>
      <c r="T39">
        <f>B39</f>
      </c>
      <c r="Y39" s="123"/>
      <c r="Z39" s="123"/>
      <c r="AA39" s="123"/>
      <c r="AB39" s="123"/>
      <c r="AC39" s="125"/>
      <c r="AO39">
        <f>K39</f>
      </c>
      <c r="AQ39" s="123">
        <f>AO39/(1+AP39)</f>
      </c>
      <c r="AR39">
        <f>L39</f>
      </c>
    </row>
    <row r="40">
      <c r="A40" t="str">
        <v>国内</v>
      </c>
      <c r="B40" t="str">
        <v>VA</v>
      </c>
      <c r="C40" t="str">
        <v>文创</v>
      </c>
      <c r="D40" t="str" xml:space="preserve">
        <v> </v>
      </c>
      <c r="E40" t="str" xml:space="preserve">
        <v> </v>
      </c>
      <c r="F40" t="str" xml:space="preserve">
        <v> </v>
      </c>
      <c r="G40" t="str">
        <v>JW20200318-1655-增补</v>
      </c>
      <c r="H40">
        <v>20240926</v>
      </c>
      <c r="I40" t="str">
        <v>华东</v>
      </c>
      <c r="J40" t="str">
        <v>江苏</v>
      </c>
      <c r="K40" s="124">
        <v>12500</v>
      </c>
      <c r="L40" t="str">
        <v>CNY</v>
      </c>
      <c r="N40" t="str">
        <v>待确认</v>
      </c>
      <c r="P40">
        <f>G40</f>
      </c>
      <c r="Q40" s="125"/>
      <c r="T40">
        <f>B40</f>
      </c>
      <c r="Y40" s="123"/>
      <c r="Z40" s="123"/>
      <c r="AA40" s="123"/>
      <c r="AB40" s="123"/>
      <c r="AC40" s="125"/>
      <c r="AO40">
        <f>K40</f>
      </c>
      <c r="AQ40" s="123">
        <f>AO40/(1+AP40)</f>
      </c>
      <c r="AR40">
        <f>L40</f>
      </c>
    </row>
    <row r="41">
      <c r="A41" t="str">
        <v>国内</v>
      </c>
      <c r="B41" t="str">
        <v>VA</v>
      </c>
      <c r="C41" t="str">
        <v>文创</v>
      </c>
      <c r="D41" t="str" xml:space="preserve">
        <v> </v>
      </c>
      <c r="E41" t="str" xml:space="preserve">
        <v> </v>
      </c>
      <c r="F41" t="str" xml:space="preserve">
        <v> </v>
      </c>
      <c r="G41" t="str">
        <v>JW20240821-1965</v>
      </c>
      <c r="H41">
        <v>20240829</v>
      </c>
      <c r="I41" t="str">
        <v>华南</v>
      </c>
      <c r="J41" t="str">
        <v>深圳</v>
      </c>
      <c r="K41" s="124">
        <v>38000</v>
      </c>
      <c r="L41" t="str">
        <v>CNY</v>
      </c>
      <c r="N41" t="str">
        <v>待确认</v>
      </c>
      <c r="P41">
        <f>G41</f>
      </c>
      <c r="Q41" s="125"/>
      <c r="T41">
        <f>B41</f>
      </c>
      <c r="Y41" s="123"/>
      <c r="Z41" s="123"/>
      <c r="AA41" s="123"/>
      <c r="AB41" s="123"/>
      <c r="AC41" s="125"/>
      <c r="AO41">
        <f>K41</f>
      </c>
      <c r="AQ41" s="123">
        <f>AO41/(1+AP41)</f>
      </c>
      <c r="AR41">
        <f>L41</f>
      </c>
    </row>
    <row r="42">
      <c r="A42" t="str">
        <v>国内</v>
      </c>
      <c r="B42" t="str">
        <v>VA</v>
      </c>
      <c r="C42" t="str">
        <v>文创</v>
      </c>
      <c r="D42" t="str" xml:space="preserve">
        <v> </v>
      </c>
      <c r="E42" t="str" xml:space="preserve">
        <v> </v>
      </c>
      <c r="F42" t="str" xml:space="preserve">
        <v> </v>
      </c>
      <c r="G42" t="str">
        <v>JW20240716-1952-增补</v>
      </c>
      <c r="H42">
        <v>20240829</v>
      </c>
      <c r="I42" t="str">
        <v>华东</v>
      </c>
      <c r="J42" t="str">
        <v>上海</v>
      </c>
      <c r="K42" s="124">
        <v>12500</v>
      </c>
      <c r="L42" t="str">
        <v>CNY</v>
      </c>
      <c r="N42" t="str">
        <v>待确认</v>
      </c>
      <c r="P42">
        <f>G42</f>
      </c>
      <c r="Q42" s="125"/>
      <c r="T42">
        <f>B42</f>
      </c>
      <c r="Y42" s="123"/>
      <c r="Z42" s="123"/>
      <c r="AA42" s="123"/>
      <c r="AB42" s="123"/>
      <c r="AC42" s="125"/>
      <c r="AO42">
        <f>K42</f>
      </c>
      <c r="AQ42" s="123">
        <f>AO42/(1+AP42)</f>
      </c>
      <c r="AR42">
        <f>L42</f>
      </c>
    </row>
    <row r="43">
      <c r="A43" t="str">
        <v>国内</v>
      </c>
      <c r="B43" t="str">
        <v>VA</v>
      </c>
      <c r="C43" t="str">
        <v>文创</v>
      </c>
      <c r="D43" t="str" xml:space="preserve">
        <v> </v>
      </c>
      <c r="E43" t="str" xml:space="preserve">
        <v> </v>
      </c>
      <c r="F43" t="str" xml:space="preserve">
        <v> </v>
      </c>
      <c r="G43" t="str">
        <v>JW20240726-1957</v>
      </c>
      <c r="H43">
        <v>20240822</v>
      </c>
      <c r="I43" t="str">
        <v>华北</v>
      </c>
      <c r="J43" t="str">
        <v>天津</v>
      </c>
      <c r="K43" s="126">
        <v>1563472.41</v>
      </c>
      <c r="L43" t="str">
        <v>CNY</v>
      </c>
      <c r="N43" t="str">
        <v>待确认</v>
      </c>
      <c r="P43">
        <f>G43</f>
      </c>
      <c r="Q43" s="125"/>
      <c r="T43">
        <f>B43</f>
      </c>
      <c r="Y43" s="123"/>
      <c r="Z43" s="123"/>
      <c r="AA43" s="123"/>
      <c r="AB43" s="123"/>
      <c r="AC43" s="125"/>
      <c r="AO43">
        <f>K43</f>
      </c>
      <c r="AQ43" s="123">
        <f>AO43/(1+AP43)</f>
      </c>
      <c r="AR43">
        <f>L43</f>
      </c>
    </row>
    <row r="44">
      <c r="A44" t="str">
        <v>国内</v>
      </c>
      <c r="B44" t="str">
        <v>VA</v>
      </c>
      <c r="C44" t="str">
        <v>文创</v>
      </c>
      <c r="D44" t="str" xml:space="preserve">
        <v> </v>
      </c>
      <c r="E44" t="str" xml:space="preserve">
        <v> </v>
      </c>
      <c r="F44" t="str" xml:space="preserve">
        <v> </v>
      </c>
      <c r="G44" t="str">
        <v>JW20240718-1953</v>
      </c>
      <c r="H44">
        <v>20240814</v>
      </c>
      <c r="I44" t="str">
        <v>华南</v>
      </c>
      <c r="J44" t="str">
        <v>深圳</v>
      </c>
      <c r="K44" s="126">
        <v>793877.8</v>
      </c>
      <c r="L44" t="str">
        <v>CNY</v>
      </c>
      <c r="N44" t="str">
        <v>待确认</v>
      </c>
      <c r="P44">
        <f>G44</f>
      </c>
      <c r="Q44" s="125"/>
      <c r="T44">
        <f>B44</f>
      </c>
      <c r="Y44" s="123"/>
      <c r="Z44" s="123"/>
      <c r="AA44" s="123"/>
      <c r="AB44" s="123"/>
      <c r="AC44" s="125"/>
      <c r="AO44">
        <f>K44</f>
      </c>
      <c r="AQ44" s="123">
        <f>AO44/(1+AP44)</f>
      </c>
      <c r="AR44">
        <f>L44</f>
      </c>
    </row>
    <row r="45">
      <c r="A45" t="str">
        <v>国内</v>
      </c>
      <c r="B45" t="str">
        <v>VA</v>
      </c>
      <c r="C45" t="str">
        <v>照明</v>
      </c>
      <c r="D45" t="str" xml:space="preserve">
        <v> </v>
      </c>
      <c r="E45" t="str" xml:space="preserve">
        <v> </v>
      </c>
      <c r="F45" t="str" xml:space="preserve">
        <v> </v>
      </c>
      <c r="G45" t="str">
        <v>UNIN2405289</v>
      </c>
      <c r="H45">
        <v>20240725</v>
      </c>
      <c r="I45" t="str">
        <v>华南</v>
      </c>
      <c r="J45" t="str">
        <v>深圳</v>
      </c>
      <c r="K45" s="124">
        <v>66352</v>
      </c>
      <c r="L45" t="str">
        <v>CNY</v>
      </c>
      <c r="N45" t="str">
        <v>待确认</v>
      </c>
      <c r="P45">
        <f>G45</f>
      </c>
      <c r="Q45" s="125"/>
      <c r="T45">
        <f>B45</f>
      </c>
      <c r="Y45" s="123"/>
      <c r="Z45" s="123"/>
      <c r="AA45" s="123"/>
      <c r="AB45" s="123"/>
      <c r="AC45" s="125"/>
      <c r="AO45">
        <f>K45</f>
      </c>
      <c r="AQ45" s="123">
        <f>AO45/(1+AP45)</f>
      </c>
      <c r="AR45">
        <f>L45</f>
      </c>
    </row>
    <row r="46">
      <c r="A46" t="str">
        <v>国内</v>
      </c>
      <c r="B46" t="str">
        <v>VA</v>
      </c>
      <c r="C46" t="str">
        <v>文创</v>
      </c>
      <c r="D46" t="str" xml:space="preserve">
        <v> </v>
      </c>
      <c r="E46" t="str" xml:space="preserve">
        <v> </v>
      </c>
      <c r="F46" t="str" xml:space="preserve">
        <v> </v>
      </c>
      <c r="G46" t="str">
        <v>OP2024070354</v>
      </c>
      <c r="H46">
        <v>20240724</v>
      </c>
      <c r="I46" t="str">
        <v>华东</v>
      </c>
      <c r="J46" t="str">
        <v>浙江</v>
      </c>
      <c r="K46" s="124">
        <v>46500</v>
      </c>
      <c r="L46" t="str">
        <v>CNY</v>
      </c>
      <c r="N46" t="str">
        <v>待确认</v>
      </c>
      <c r="P46">
        <f>G46</f>
      </c>
      <c r="Q46" s="125"/>
      <c r="T46">
        <f>B46</f>
      </c>
      <c r="Y46" s="123"/>
      <c r="Z46" s="123"/>
      <c r="AA46" s="123"/>
      <c r="AB46" s="123"/>
      <c r="AC46" s="125"/>
      <c r="AO46">
        <f>K46</f>
      </c>
      <c r="AQ46" s="123">
        <f>AO46/(1+AP46)</f>
      </c>
      <c r="AR46">
        <f>L46</f>
      </c>
    </row>
    <row r="47">
      <c r="A47" t="str">
        <v>国内</v>
      </c>
      <c r="B47" t="str">
        <v>VA</v>
      </c>
      <c r="C47" t="str">
        <v>文创</v>
      </c>
      <c r="D47" t="str" xml:space="preserve">
        <v> </v>
      </c>
      <c r="E47" t="str" xml:space="preserve">
        <v> </v>
      </c>
      <c r="F47" t="str" xml:space="preserve">
        <v> </v>
      </c>
      <c r="G47" t="str">
        <v>OP2024070354</v>
      </c>
      <c r="H47">
        <v>20240724</v>
      </c>
      <c r="I47" t="str">
        <v>华东</v>
      </c>
      <c r="J47" t="str">
        <v>上海</v>
      </c>
      <c r="K47" s="124">
        <v>108500</v>
      </c>
      <c r="L47" t="str">
        <v>CNY</v>
      </c>
      <c r="N47" t="str">
        <v>待确认</v>
      </c>
      <c r="P47">
        <f>G47</f>
      </c>
      <c r="Q47" s="125"/>
      <c r="T47">
        <f>B47</f>
      </c>
      <c r="Y47" s="123"/>
      <c r="Z47" s="123"/>
      <c r="AA47" s="123"/>
      <c r="AB47" s="123"/>
      <c r="AC47" s="125"/>
      <c r="AO47">
        <f>K47</f>
      </c>
      <c r="AQ47" s="123">
        <f>AO47/(1+AP47)</f>
      </c>
      <c r="AR47">
        <f>L47</f>
      </c>
    </row>
    <row r="48">
      <c r="A48" t="str">
        <v>国内</v>
      </c>
      <c r="B48" t="str">
        <v>VA</v>
      </c>
      <c r="C48" t="str">
        <v>文创</v>
      </c>
      <c r="D48" t="str" xml:space="preserve">
        <v> </v>
      </c>
      <c r="E48" t="str" xml:space="preserve">
        <v> </v>
      </c>
      <c r="F48" t="str" xml:space="preserve">
        <v> </v>
      </c>
      <c r="G48" t="str">
        <v>OP2023120343-增补2</v>
      </c>
      <c r="H48">
        <v>20240724</v>
      </c>
      <c r="I48" t="str">
        <v>华东</v>
      </c>
      <c r="J48" t="str">
        <v>浙江</v>
      </c>
      <c r="K48" s="124">
        <v>40200</v>
      </c>
      <c r="L48" t="str">
        <v>CNY</v>
      </c>
      <c r="N48" t="str">
        <v>待确认</v>
      </c>
      <c r="P48">
        <f>G48</f>
      </c>
      <c r="Q48" s="125"/>
      <c r="T48">
        <f>B48</f>
      </c>
      <c r="Y48" s="123"/>
      <c r="Z48" s="123"/>
      <c r="AA48" s="123"/>
      <c r="AB48" s="123"/>
      <c r="AC48" s="125"/>
      <c r="AO48">
        <f>K48</f>
      </c>
      <c r="AQ48" s="123">
        <f>AO48/(1+AP48)</f>
      </c>
      <c r="AR48">
        <f>L48</f>
      </c>
    </row>
    <row r="49">
      <c r="A49" t="str">
        <v>国内</v>
      </c>
      <c r="B49" t="str">
        <v>VA</v>
      </c>
      <c r="C49" t="str">
        <v>文创</v>
      </c>
      <c r="D49" t="str" xml:space="preserve">
        <v> </v>
      </c>
      <c r="E49" t="str" xml:space="preserve">
        <v> </v>
      </c>
      <c r="F49" t="str" xml:space="preserve">
        <v> </v>
      </c>
      <c r="G49" t="str">
        <v>JW20240716-1952</v>
      </c>
      <c r="H49">
        <v>20240724</v>
      </c>
      <c r="I49" t="str">
        <v>华东</v>
      </c>
      <c r="J49" t="str">
        <v>上海</v>
      </c>
      <c r="K49" s="124">
        <v>26060</v>
      </c>
      <c r="L49" t="str">
        <v>CNY</v>
      </c>
      <c r="N49" t="str">
        <v>待确认</v>
      </c>
      <c r="P49">
        <f>G49</f>
      </c>
      <c r="Q49" s="125"/>
      <c r="T49">
        <f>B49</f>
      </c>
      <c r="Y49" s="123"/>
      <c r="Z49" s="123"/>
      <c r="AA49" s="123"/>
      <c r="AB49" s="123"/>
      <c r="AC49" s="125"/>
      <c r="AO49">
        <f>K49</f>
      </c>
      <c r="AQ49" s="123">
        <f>AO49/(1+AP49)</f>
      </c>
      <c r="AR49">
        <f>L49</f>
      </c>
    </row>
    <row r="50">
      <c r="A50" t="str">
        <v>国内</v>
      </c>
      <c r="B50" t="str">
        <v>VA</v>
      </c>
      <c r="C50" t="str">
        <v>文创</v>
      </c>
      <c r="D50" t="str" xml:space="preserve">
        <v> </v>
      </c>
      <c r="E50" t="str" xml:space="preserve">
        <v> </v>
      </c>
      <c r="F50" t="str" xml:space="preserve">
        <v> </v>
      </c>
      <c r="G50" t="str">
        <v>OP2024070354</v>
      </c>
      <c r="H50">
        <v>20240724</v>
      </c>
      <c r="I50" t="str">
        <v>华东</v>
      </c>
      <c r="J50" t="str">
        <v>浙江</v>
      </c>
      <c r="K50" s="124">
        <v>46500</v>
      </c>
      <c r="L50" t="str">
        <v>CNY</v>
      </c>
      <c r="N50" t="str">
        <v>待确认</v>
      </c>
      <c r="P50">
        <f>G50</f>
      </c>
      <c r="Q50" s="125"/>
      <c r="T50">
        <f>B50</f>
      </c>
      <c r="Y50" s="123"/>
      <c r="Z50" s="123"/>
      <c r="AA50" s="123"/>
      <c r="AB50" s="123"/>
      <c r="AC50" s="125"/>
      <c r="AO50">
        <f>K50</f>
      </c>
      <c r="AQ50" s="123">
        <f>AO50/(1+AP50)</f>
      </c>
      <c r="AR50">
        <f>L50</f>
      </c>
    </row>
    <row r="51">
      <c r="A51" t="str">
        <v>国内</v>
      </c>
      <c r="B51" t="str">
        <v>VA</v>
      </c>
      <c r="C51" t="str">
        <v>文创</v>
      </c>
      <c r="D51" t="str" xml:space="preserve">
        <v> </v>
      </c>
      <c r="E51" t="str" xml:space="preserve">
        <v> </v>
      </c>
      <c r="F51" t="str" xml:space="preserve">
        <v> </v>
      </c>
      <c r="G51" t="str">
        <v>JW20240716-1952</v>
      </c>
      <c r="H51">
        <v>20240724</v>
      </c>
      <c r="I51" t="str">
        <v>华东</v>
      </c>
      <c r="J51" t="str">
        <v>上海</v>
      </c>
      <c r="K51" s="124">
        <v>26060</v>
      </c>
      <c r="L51" t="str">
        <v>CNY</v>
      </c>
      <c r="N51" t="str">
        <v>待确认</v>
      </c>
      <c r="P51">
        <f>G51</f>
      </c>
      <c r="Q51" s="125"/>
      <c r="T51">
        <f>B51</f>
      </c>
      <c r="Y51" s="123"/>
      <c r="Z51" s="123"/>
      <c r="AA51" s="123"/>
      <c r="AB51" s="123"/>
      <c r="AC51" s="125"/>
      <c r="AO51">
        <f>K51</f>
      </c>
      <c r="AQ51" s="123">
        <f>AO51/(1+AP51)</f>
      </c>
      <c r="AR51">
        <f>L51</f>
      </c>
    </row>
    <row r="52">
      <c r="A52" t="str">
        <v>国内</v>
      </c>
      <c r="B52" t="str">
        <v>VA</v>
      </c>
      <c r="C52" t="str">
        <v>文创</v>
      </c>
      <c r="D52" t="str" xml:space="preserve">
        <v> </v>
      </c>
      <c r="E52" t="str" xml:space="preserve">
        <v> </v>
      </c>
      <c r="F52" t="str" xml:space="preserve">
        <v> </v>
      </c>
      <c r="G52" t="str">
        <v>OP2023120343-增补2</v>
      </c>
      <c r="H52">
        <v>20240724</v>
      </c>
      <c r="I52" t="str">
        <v>华东</v>
      </c>
      <c r="J52" t="str">
        <v>浙江</v>
      </c>
      <c r="K52" s="124">
        <v>40200</v>
      </c>
      <c r="L52" t="str">
        <v>CNY</v>
      </c>
      <c r="N52" t="str">
        <v>待确认</v>
      </c>
      <c r="P52">
        <f>G52</f>
      </c>
      <c r="Q52" s="125"/>
      <c r="T52">
        <f>B52</f>
      </c>
      <c r="Y52" s="123"/>
      <c r="Z52" s="123"/>
      <c r="AA52" s="123"/>
      <c r="AB52" s="123"/>
      <c r="AC52" s="125"/>
      <c r="AO52">
        <f>K52</f>
      </c>
      <c r="AQ52" s="123">
        <f>AO52/(1+AP52)</f>
      </c>
      <c r="AR52">
        <f>L52</f>
      </c>
    </row>
    <row r="53">
      <c r="A53" t="str">
        <v>国内</v>
      </c>
      <c r="B53" t="str">
        <v>VA</v>
      </c>
      <c r="C53" t="str">
        <v>文创</v>
      </c>
      <c r="D53" t="str" xml:space="preserve">
        <v> </v>
      </c>
      <c r="E53" t="str" xml:space="preserve">
        <v> </v>
      </c>
      <c r="F53" t="str" xml:space="preserve">
        <v> </v>
      </c>
      <c r="G53" t="str">
        <v>OP2024070354</v>
      </c>
      <c r="H53">
        <v>20240724</v>
      </c>
      <c r="I53" t="str">
        <v>华东</v>
      </c>
      <c r="J53" t="str">
        <v>上海</v>
      </c>
      <c r="K53" s="124">
        <v>108500</v>
      </c>
      <c r="L53" t="str">
        <v>CNY</v>
      </c>
      <c r="N53" t="str">
        <v>待确认</v>
      </c>
      <c r="P53">
        <f>G53</f>
      </c>
      <c r="Q53" s="125"/>
      <c r="T53">
        <f>B53</f>
      </c>
      <c r="Y53" s="123"/>
      <c r="Z53" s="123"/>
      <c r="AA53" s="123"/>
      <c r="AB53" s="123"/>
      <c r="AC53" s="125"/>
      <c r="AO53">
        <f>K53</f>
      </c>
      <c r="AQ53" s="123">
        <f>AO53/(1+AP53)</f>
      </c>
      <c r="AR53">
        <f>L53</f>
      </c>
    </row>
    <row r="54">
      <c r="A54" t="str">
        <v>国内</v>
      </c>
      <c r="B54" t="str">
        <v>VA</v>
      </c>
      <c r="C54" t="str">
        <v>照明</v>
      </c>
      <c r="D54" t="str" xml:space="preserve">
        <v> </v>
      </c>
      <c r="E54" t="str" xml:space="preserve">
        <v> </v>
      </c>
      <c r="F54" t="str" xml:space="preserve">
        <v> </v>
      </c>
      <c r="G54" t="str">
        <v>UNIN2403215增补4</v>
      </c>
      <c r="H54">
        <v>20240723</v>
      </c>
      <c r="I54" t="str">
        <v>华东</v>
      </c>
      <c r="J54" t="str">
        <v>浙江</v>
      </c>
      <c r="K54" s="124">
        <v>214658</v>
      </c>
      <c r="L54" t="str">
        <v>CNY</v>
      </c>
      <c r="N54" t="str">
        <v>待确认</v>
      </c>
      <c r="P54">
        <f>G54</f>
      </c>
      <c r="Q54" s="125"/>
      <c r="T54">
        <f>B54</f>
      </c>
      <c r="Y54" s="123"/>
      <c r="Z54" s="123"/>
      <c r="AA54" s="123"/>
      <c r="AB54" s="123"/>
      <c r="AC54" s="125"/>
      <c r="AO54">
        <f>K54</f>
      </c>
      <c r="AQ54" s="123">
        <f>AO54/(1+AP54)</f>
      </c>
      <c r="AR54">
        <f>L54</f>
      </c>
    </row>
    <row r="55">
      <c r="A55" t="str">
        <v>国内</v>
      </c>
      <c r="B55" t="str">
        <v>VA</v>
      </c>
      <c r="C55" t="str">
        <v>照明</v>
      </c>
      <c r="D55" t="str" xml:space="preserve">
        <v> </v>
      </c>
      <c r="E55" t="str" xml:space="preserve">
        <v> </v>
      </c>
      <c r="F55" t="str" xml:space="preserve">
        <v> </v>
      </c>
      <c r="G55" t="str">
        <v>UNIN2405310</v>
      </c>
      <c r="H55">
        <v>20240723</v>
      </c>
      <c r="I55" t="str">
        <v>华东</v>
      </c>
      <c r="J55" t="str">
        <v>江苏</v>
      </c>
      <c r="K55" s="124">
        <v>237405</v>
      </c>
      <c r="L55" t="str">
        <v>CNY</v>
      </c>
      <c r="N55" t="str">
        <v>待确认</v>
      </c>
      <c r="P55">
        <f>G55</f>
      </c>
      <c r="Q55" s="125"/>
      <c r="T55">
        <f>B55</f>
      </c>
      <c r="Y55" s="123"/>
      <c r="Z55" s="123"/>
      <c r="AA55" s="123"/>
      <c r="AB55" s="123"/>
      <c r="AC55" s="125"/>
      <c r="AO55">
        <f>K55</f>
      </c>
      <c r="AQ55" s="123">
        <f>AO55/(1+AP55)</f>
      </c>
      <c r="AR55">
        <f>L55</f>
      </c>
    </row>
    <row r="56">
      <c r="A56" t="str">
        <v>国内</v>
      </c>
      <c r="B56" t="str">
        <v>VA</v>
      </c>
      <c r="C56" t="str">
        <v>照明</v>
      </c>
      <c r="D56" t="str" xml:space="preserve">
        <v> </v>
      </c>
      <c r="E56" t="str" xml:space="preserve">
        <v> </v>
      </c>
      <c r="F56" t="str" xml:space="preserve">
        <v> </v>
      </c>
      <c r="G56" t="str">
        <v>UNIN2406333增补1</v>
      </c>
      <c r="H56">
        <v>20240722</v>
      </c>
      <c r="I56" t="str">
        <v>华南</v>
      </c>
      <c r="J56" t="str">
        <v>福建</v>
      </c>
      <c r="K56">
        <v>225</v>
      </c>
      <c r="L56" t="str">
        <v>CNY</v>
      </c>
      <c r="N56" t="str">
        <v>待确认</v>
      </c>
      <c r="P56">
        <f>G56</f>
      </c>
      <c r="Q56" s="125"/>
      <c r="T56">
        <f>B56</f>
      </c>
      <c r="Y56" s="123"/>
      <c r="Z56" s="123"/>
      <c r="AA56" s="123"/>
      <c r="AB56" s="123"/>
      <c r="AC56" s="125"/>
      <c r="AO56">
        <f>K56</f>
      </c>
      <c r="AQ56" s="123">
        <f>AO56/(1+AP56)</f>
      </c>
      <c r="AR56">
        <f>L56</f>
      </c>
    </row>
    <row r="57">
      <c r="A57" t="str">
        <v>国内</v>
      </c>
      <c r="B57" t="str">
        <v>VA</v>
      </c>
      <c r="C57" t="str">
        <v>照明</v>
      </c>
      <c r="D57" t="str" xml:space="preserve">
        <v> </v>
      </c>
      <c r="E57" t="str" xml:space="preserve">
        <v> </v>
      </c>
      <c r="F57" t="str" xml:space="preserve">
        <v> </v>
      </c>
      <c r="G57" t="str">
        <v>UNIN2407356</v>
      </c>
      <c r="H57">
        <v>20240722</v>
      </c>
      <c r="I57" t="str">
        <v>华东</v>
      </c>
      <c r="J57" t="str">
        <v>上海</v>
      </c>
      <c r="K57" s="126">
        <v>16615.1</v>
      </c>
      <c r="L57" t="str">
        <v>CNY</v>
      </c>
      <c r="N57" t="str">
        <v>待确认</v>
      </c>
      <c r="P57">
        <f>G57</f>
      </c>
      <c r="Q57" s="125"/>
      <c r="T57">
        <f>B57</f>
      </c>
      <c r="Y57" s="123"/>
      <c r="Z57" s="123"/>
      <c r="AA57" s="123"/>
      <c r="AB57" s="123"/>
      <c r="AC57" s="125"/>
      <c r="AO57">
        <f>K57</f>
      </c>
      <c r="AQ57" s="123">
        <f>AO57/(1+AP57)</f>
      </c>
      <c r="AR57">
        <f>L57</f>
      </c>
    </row>
    <row r="58">
      <c r="A58" t="str">
        <v>国内</v>
      </c>
      <c r="B58" t="str">
        <v>VA</v>
      </c>
      <c r="C58" t="str">
        <v>照明</v>
      </c>
      <c r="D58" t="str" xml:space="preserve">
        <v> </v>
      </c>
      <c r="E58" t="str" xml:space="preserve">
        <v> </v>
      </c>
      <c r="F58" t="str" xml:space="preserve">
        <v> </v>
      </c>
      <c r="G58" t="str">
        <v>UNIN2406316</v>
      </c>
      <c r="H58">
        <v>20240719</v>
      </c>
      <c r="I58" t="str">
        <v>华南</v>
      </c>
      <c r="J58" t="str">
        <v>深圳</v>
      </c>
      <c r="K58" s="124">
        <v>24915</v>
      </c>
      <c r="L58" t="str">
        <v>CNY</v>
      </c>
      <c r="N58" t="str">
        <v>待确认</v>
      </c>
      <c r="P58">
        <f>G58</f>
      </c>
      <c r="Q58" s="125"/>
      <c r="T58">
        <f>B58</f>
      </c>
      <c r="Y58" s="123"/>
      <c r="Z58" s="123"/>
      <c r="AA58" s="123"/>
      <c r="AB58" s="123"/>
      <c r="AC58" s="125"/>
      <c r="AO58">
        <f>K58</f>
      </c>
      <c r="AQ58" s="123">
        <f>AO58/(1+AP58)</f>
      </c>
      <c r="AR58">
        <f>L58</f>
      </c>
    </row>
    <row r="59">
      <c r="A59" t="str">
        <v>国内</v>
      </c>
      <c r="B59" t="str">
        <v>VA</v>
      </c>
      <c r="C59" t="str">
        <v>文创</v>
      </c>
      <c r="D59" t="str" xml:space="preserve">
        <v> </v>
      </c>
      <c r="E59" t="str" xml:space="preserve">
        <v> </v>
      </c>
      <c r="F59" t="str" xml:space="preserve">
        <v> </v>
      </c>
      <c r="G59" t="str">
        <v>JW20240412-1923-增补</v>
      </c>
      <c r="H59">
        <v>20240718</v>
      </c>
      <c r="I59" t="str">
        <v>华东</v>
      </c>
      <c r="J59" t="str">
        <v>浙江</v>
      </c>
      <c r="K59" s="124">
        <v>105000</v>
      </c>
      <c r="L59" t="str">
        <v>CNY</v>
      </c>
      <c r="N59" t="str">
        <v>待确认</v>
      </c>
      <c r="P59">
        <f>G59</f>
      </c>
      <c r="Q59" s="125"/>
      <c r="T59">
        <f>B59</f>
      </c>
      <c r="Y59" s="123"/>
      <c r="Z59" s="123"/>
      <c r="AA59" s="123"/>
      <c r="AB59" s="123"/>
      <c r="AC59" s="125"/>
      <c r="AO59">
        <f>K59</f>
      </c>
      <c r="AQ59" s="123">
        <f>AO59/(1+AP59)</f>
      </c>
      <c r="AR59">
        <f>L59</f>
      </c>
    </row>
    <row r="60">
      <c r="A60" t="str">
        <v>国内</v>
      </c>
      <c r="B60" t="str">
        <v>VA</v>
      </c>
      <c r="C60" t="str">
        <v>文创</v>
      </c>
      <c r="D60" t="str" xml:space="preserve">
        <v> </v>
      </c>
      <c r="E60" t="str" xml:space="preserve">
        <v> </v>
      </c>
      <c r="F60" t="str" xml:space="preserve">
        <v> </v>
      </c>
      <c r="G60" t="str">
        <v>JW20240412-1923-增补</v>
      </c>
      <c r="H60">
        <v>20240718</v>
      </c>
      <c r="I60" t="str">
        <v>华北</v>
      </c>
      <c r="J60" t="str">
        <v>北京</v>
      </c>
      <c r="K60" s="124">
        <v>245000</v>
      </c>
      <c r="L60" t="str">
        <v>CNY</v>
      </c>
      <c r="N60" t="str">
        <v>待确认</v>
      </c>
      <c r="P60">
        <f>G60</f>
      </c>
      <c r="Q60" s="125"/>
      <c r="T60">
        <f>B60</f>
      </c>
      <c r="Y60" s="123"/>
      <c r="Z60" s="123"/>
      <c r="AA60" s="123"/>
      <c r="AB60" s="123"/>
      <c r="AC60" s="125"/>
      <c r="AO60">
        <f>K60</f>
      </c>
      <c r="AQ60" s="123">
        <f>AO60/(1+AP60)</f>
      </c>
      <c r="AR60">
        <f>L60</f>
      </c>
    </row>
    <row r="61">
      <c r="A61" t="str">
        <v>国内</v>
      </c>
      <c r="B61" t="str">
        <v>VA</v>
      </c>
      <c r="C61" t="str">
        <v>文创</v>
      </c>
      <c r="D61" t="str" xml:space="preserve">
        <v> </v>
      </c>
      <c r="E61" t="str" xml:space="preserve">
        <v> </v>
      </c>
      <c r="F61" t="str" xml:space="preserve">
        <v> </v>
      </c>
      <c r="G61" t="str">
        <v>JW20190923-1626售后维修</v>
      </c>
      <c r="H61">
        <v>20240718</v>
      </c>
      <c r="I61" t="str">
        <v>华东</v>
      </c>
      <c r="J61" t="str">
        <v>上海</v>
      </c>
      <c r="K61" s="124">
        <v>16152</v>
      </c>
      <c r="L61" t="str">
        <v>CNY</v>
      </c>
      <c r="N61" t="str">
        <v>待确认</v>
      </c>
      <c r="P61">
        <f>G61</f>
      </c>
      <c r="Q61" s="125"/>
      <c r="T61">
        <f>B61</f>
      </c>
      <c r="Y61" s="123"/>
      <c r="Z61" s="123"/>
      <c r="AA61" s="123"/>
      <c r="AB61" s="123"/>
      <c r="AC61" s="125"/>
      <c r="AO61">
        <f>K61</f>
      </c>
      <c r="AQ61" s="123">
        <f>AO61/(1+AP61)</f>
      </c>
      <c r="AR61">
        <f>L61</f>
      </c>
    </row>
    <row r="62">
      <c r="A62" t="str">
        <v>国内</v>
      </c>
      <c r="B62" t="str">
        <v>VA</v>
      </c>
      <c r="C62" t="str">
        <v>文创</v>
      </c>
      <c r="D62" t="str" xml:space="preserve">
        <v> </v>
      </c>
      <c r="E62" t="str" xml:space="preserve">
        <v> </v>
      </c>
      <c r="F62" t="str" xml:space="preserve">
        <v> </v>
      </c>
      <c r="G62" t="str">
        <v>JW20190923-1626售后维修</v>
      </c>
      <c r="H62">
        <v>20240718</v>
      </c>
      <c r="I62" t="str">
        <v>华东</v>
      </c>
      <c r="J62" t="str">
        <v>上海</v>
      </c>
      <c r="K62" s="124">
        <v>16152</v>
      </c>
      <c r="L62" t="str">
        <v>CNY</v>
      </c>
      <c r="N62" t="str">
        <v>待确认</v>
      </c>
      <c r="P62">
        <f>G62</f>
      </c>
      <c r="Q62" s="125"/>
      <c r="T62">
        <f>B62</f>
      </c>
      <c r="Y62" s="123"/>
      <c r="Z62" s="123"/>
      <c r="AA62" s="123"/>
      <c r="AB62" s="123"/>
      <c r="AC62" s="125"/>
      <c r="AO62">
        <f>K62</f>
      </c>
      <c r="AQ62" s="123">
        <f>AO62/(1+AP62)</f>
      </c>
      <c r="AR62">
        <f>L62</f>
      </c>
    </row>
    <row r="63">
      <c r="A63" t="str">
        <v>国内</v>
      </c>
      <c r="B63" t="str">
        <v>VA</v>
      </c>
      <c r="C63" t="str">
        <v>文创</v>
      </c>
      <c r="D63" t="str" xml:space="preserve">
        <v> </v>
      </c>
      <c r="E63" t="str" xml:space="preserve">
        <v> </v>
      </c>
      <c r="F63" t="str" xml:space="preserve">
        <v> </v>
      </c>
      <c r="G63" t="str">
        <v>JW20240412-1923-增补</v>
      </c>
      <c r="H63">
        <v>20240718</v>
      </c>
      <c r="I63" t="str">
        <v>华东</v>
      </c>
      <c r="J63" t="str">
        <v>浙江</v>
      </c>
      <c r="K63" s="124">
        <v>105000</v>
      </c>
      <c r="L63" t="str">
        <v>CNY</v>
      </c>
      <c r="N63" t="str">
        <v>待确认</v>
      </c>
      <c r="P63">
        <f>G63</f>
      </c>
      <c r="Q63" s="125"/>
      <c r="T63">
        <f>B63</f>
      </c>
      <c r="Y63" s="123"/>
      <c r="Z63" s="123"/>
      <c r="AA63" s="123"/>
      <c r="AB63" s="123"/>
      <c r="AC63" s="125"/>
      <c r="AO63">
        <f>K63</f>
      </c>
      <c r="AQ63" s="123">
        <f>AO63/(1+AP63)</f>
      </c>
      <c r="AR63">
        <f>L63</f>
      </c>
    </row>
    <row r="64">
      <c r="A64" t="str">
        <v>国内</v>
      </c>
      <c r="B64" t="str">
        <v>VA</v>
      </c>
      <c r="C64" t="str">
        <v>文创</v>
      </c>
      <c r="D64" t="str" xml:space="preserve">
        <v> </v>
      </c>
      <c r="E64" t="str" xml:space="preserve">
        <v> </v>
      </c>
      <c r="F64" t="str" xml:space="preserve">
        <v> </v>
      </c>
      <c r="G64" t="str">
        <v>JW20240412-1923-增补</v>
      </c>
      <c r="H64">
        <v>20240718</v>
      </c>
      <c r="I64" t="str">
        <v>华北</v>
      </c>
      <c r="J64" t="str">
        <v>北京</v>
      </c>
      <c r="K64" s="124">
        <v>245000</v>
      </c>
      <c r="L64" t="str">
        <v>CNY</v>
      </c>
      <c r="N64" t="str">
        <v>待确认</v>
      </c>
      <c r="P64">
        <f>G64</f>
      </c>
      <c r="Q64" s="125"/>
      <c r="T64">
        <f>B64</f>
      </c>
      <c r="Y64" s="123"/>
      <c r="Z64" s="123"/>
      <c r="AA64" s="123"/>
      <c r="AB64" s="123"/>
      <c r="AC64" s="125"/>
      <c r="AO64">
        <f>K64</f>
      </c>
      <c r="AQ64" s="123">
        <f>AO64/(1+AP64)</f>
      </c>
      <c r="AR64">
        <f>L64</f>
      </c>
    </row>
    <row r="65">
      <c r="A65" t="str">
        <v>国内</v>
      </c>
      <c r="B65" t="str">
        <v>VA</v>
      </c>
      <c r="C65" t="str">
        <v>照明</v>
      </c>
      <c r="D65" t="str" xml:space="preserve">
        <v> </v>
      </c>
      <c r="E65" t="str" xml:space="preserve">
        <v> </v>
      </c>
      <c r="F65" t="str" xml:space="preserve">
        <v> </v>
      </c>
      <c r="G65" t="str">
        <v>UNIN2312410增补</v>
      </c>
      <c r="H65">
        <v>20240718</v>
      </c>
      <c r="I65" t="str">
        <v>西南</v>
      </c>
      <c r="J65" t="str">
        <v>贵州</v>
      </c>
      <c r="K65" s="124">
        <v>122800</v>
      </c>
      <c r="L65" t="str">
        <v>CNY</v>
      </c>
      <c r="N65" t="str">
        <v>待确认</v>
      </c>
      <c r="P65">
        <f>G65</f>
      </c>
      <c r="Q65" s="125"/>
      <c r="T65">
        <f>B65</f>
      </c>
      <c r="Y65" s="123"/>
      <c r="Z65" s="123"/>
      <c r="AA65" s="123"/>
      <c r="AB65" s="123"/>
      <c r="AC65" s="125"/>
      <c r="AO65">
        <f>K65</f>
      </c>
      <c r="AQ65" s="123">
        <f>AO65/(1+AP65)</f>
      </c>
      <c r="AR65">
        <f>L65</f>
      </c>
    </row>
    <row r="66">
      <c r="A66" t="str">
        <v>国内</v>
      </c>
      <c r="B66" t="str">
        <v>VA</v>
      </c>
      <c r="C66" t="str">
        <v>照明</v>
      </c>
      <c r="D66" t="str" xml:space="preserve">
        <v> </v>
      </c>
      <c r="E66" t="str" xml:space="preserve">
        <v> </v>
      </c>
      <c r="F66" t="str" xml:space="preserve">
        <v> </v>
      </c>
      <c r="G66" t="str">
        <v>UNIN2406341增补1</v>
      </c>
      <c r="H66">
        <v>20240718</v>
      </c>
      <c r="I66" t="str">
        <v>西南</v>
      </c>
      <c r="J66" t="str">
        <v>贵州</v>
      </c>
      <c r="K66" s="124">
        <v>36400</v>
      </c>
      <c r="L66" t="str">
        <v>CNY</v>
      </c>
      <c r="N66" t="str">
        <v>待确认</v>
      </c>
      <c r="P66">
        <f>G66</f>
      </c>
      <c r="Q66" s="125"/>
      <c r="T66">
        <f>B66</f>
      </c>
      <c r="Y66" s="123"/>
      <c r="Z66" s="123"/>
      <c r="AA66" s="123"/>
      <c r="AB66" s="123"/>
      <c r="AC66" s="125"/>
      <c r="AO66">
        <f>K66</f>
      </c>
      <c r="AQ66" s="123">
        <f>AO66/(1+AP66)</f>
      </c>
      <c r="AR66">
        <f>L66</f>
      </c>
    </row>
    <row r="67">
      <c r="A67" t="str">
        <v>国内</v>
      </c>
      <c r="B67" t="str">
        <v>VA</v>
      </c>
      <c r="C67" t="str">
        <v>照明</v>
      </c>
      <c r="D67" t="str" xml:space="preserve">
        <v> </v>
      </c>
      <c r="E67" t="str" xml:space="preserve">
        <v> </v>
      </c>
      <c r="F67" t="str" xml:space="preserve">
        <v> </v>
      </c>
      <c r="G67" t="str">
        <v>UNIN2404232</v>
      </c>
      <c r="H67">
        <v>20240718</v>
      </c>
      <c r="I67" t="str">
        <v>华南</v>
      </c>
      <c r="J67" t="str">
        <v>深圳</v>
      </c>
      <c r="K67" s="124">
        <v>267002</v>
      </c>
      <c r="L67" t="str">
        <v>CNY</v>
      </c>
      <c r="N67" t="str">
        <v>待确认</v>
      </c>
      <c r="P67">
        <f>G67</f>
      </c>
      <c r="Q67" s="125"/>
      <c r="T67">
        <f>B67</f>
      </c>
      <c r="Y67" s="123"/>
      <c r="Z67" s="123"/>
      <c r="AA67" s="123"/>
      <c r="AB67" s="123"/>
      <c r="AC67" s="125"/>
      <c r="AO67">
        <f>K67</f>
      </c>
      <c r="AQ67" s="123">
        <f>AO67/(1+AP67)</f>
      </c>
      <c r="AR67">
        <f>L67</f>
      </c>
    </row>
    <row r="68">
      <c r="A68" t="str">
        <v>国内</v>
      </c>
      <c r="B68" t="str">
        <v>VA</v>
      </c>
      <c r="C68" t="str">
        <v>照明</v>
      </c>
      <c r="D68" t="str" xml:space="preserve">
        <v> </v>
      </c>
      <c r="E68" t="str" xml:space="preserve">
        <v> </v>
      </c>
      <c r="F68" t="str" xml:space="preserve">
        <v> </v>
      </c>
      <c r="G68" t="str">
        <v>UNIN2407353</v>
      </c>
      <c r="H68">
        <v>20240718</v>
      </c>
      <c r="I68" t="str">
        <v>华东</v>
      </c>
      <c r="J68" t="str">
        <v>浙江</v>
      </c>
      <c r="K68" s="124">
        <v>233772</v>
      </c>
      <c r="L68" t="str">
        <v>CNY</v>
      </c>
      <c r="N68" t="str">
        <v>待确认</v>
      </c>
      <c r="P68">
        <f>G68</f>
      </c>
      <c r="Q68" s="125"/>
      <c r="T68">
        <f>B68</f>
      </c>
      <c r="Y68" s="123"/>
      <c r="Z68" s="123"/>
      <c r="AA68" s="123"/>
      <c r="AB68" s="123"/>
      <c r="AC68" s="125"/>
      <c r="AO68">
        <f>K68</f>
      </c>
      <c r="AQ68" s="123">
        <f>AO68/(1+AP68)</f>
      </c>
      <c r="AR68">
        <f>L68</f>
      </c>
    </row>
    <row r="69">
      <c r="A69" t="str">
        <v>国内</v>
      </c>
      <c r="B69" t="str">
        <v>VA</v>
      </c>
      <c r="C69" t="str">
        <v>照明</v>
      </c>
      <c r="D69" t="str" xml:space="preserve">
        <v> </v>
      </c>
      <c r="E69" t="str" xml:space="preserve">
        <v> </v>
      </c>
      <c r="F69" t="str" xml:space="preserve">
        <v> </v>
      </c>
      <c r="G69" t="str">
        <v>UNIN2407366</v>
      </c>
      <c r="H69">
        <v>20240717</v>
      </c>
      <c r="I69" t="str">
        <v>华东</v>
      </c>
      <c r="J69" t="str">
        <v>上海</v>
      </c>
      <c r="K69" s="126">
        <v>7726.45</v>
      </c>
      <c r="L69" t="str">
        <v>CNY</v>
      </c>
      <c r="N69" t="str">
        <v>待确认</v>
      </c>
      <c r="P69">
        <f>G69</f>
      </c>
      <c r="Q69" s="125"/>
      <c r="T69">
        <f>B69</f>
      </c>
      <c r="Y69" s="123"/>
      <c r="Z69" s="123"/>
      <c r="AA69" s="123"/>
      <c r="AB69" s="123"/>
      <c r="AC69" s="125"/>
      <c r="AO69">
        <f>K69</f>
      </c>
      <c r="AQ69" s="123">
        <f>AO69/(1+AP69)</f>
      </c>
      <c r="AR69">
        <f>L69</f>
      </c>
    </row>
    <row r="70">
      <c r="A70" t="str">
        <v>国内</v>
      </c>
      <c r="B70" t="str">
        <v>VA</v>
      </c>
      <c r="C70" t="str">
        <v>照明</v>
      </c>
      <c r="D70" t="str" xml:space="preserve">
        <v> </v>
      </c>
      <c r="E70" t="str" xml:space="preserve">
        <v> </v>
      </c>
      <c r="F70" t="str" xml:space="preserve">
        <v> </v>
      </c>
      <c r="G70" t="str">
        <v>UNIN2407361</v>
      </c>
      <c r="H70">
        <v>20240717</v>
      </c>
      <c r="I70" t="str">
        <v>华东</v>
      </c>
      <c r="J70" t="str">
        <v>江苏</v>
      </c>
      <c r="K70" s="124">
        <v>126365</v>
      </c>
      <c r="L70" t="str">
        <v>CNY</v>
      </c>
      <c r="N70" t="str">
        <v>待确认</v>
      </c>
      <c r="P70">
        <f>G70</f>
      </c>
      <c r="Q70" s="125"/>
      <c r="T70">
        <f>B70</f>
      </c>
      <c r="Y70" s="123"/>
      <c r="Z70" s="123"/>
      <c r="AA70" s="123"/>
      <c r="AB70" s="123"/>
      <c r="AC70" s="125"/>
      <c r="AO70">
        <f>K70</f>
      </c>
      <c r="AQ70" s="123">
        <f>AO70/(1+AP70)</f>
      </c>
      <c r="AR70">
        <f>L70</f>
      </c>
    </row>
    <row r="71">
      <c r="A71" t="str">
        <v>国内</v>
      </c>
      <c r="B71" t="str">
        <v>VA</v>
      </c>
      <c r="C71" t="str">
        <v>照明</v>
      </c>
      <c r="D71" t="str" xml:space="preserve">
        <v> </v>
      </c>
      <c r="E71" t="str" xml:space="preserve">
        <v> </v>
      </c>
      <c r="F71" t="str" xml:space="preserve">
        <v> </v>
      </c>
      <c r="G71" t="str">
        <v>UNIN2407363</v>
      </c>
      <c r="H71">
        <v>20240716</v>
      </c>
      <c r="I71" t="str">
        <v>华北</v>
      </c>
      <c r="J71" t="str">
        <v>山西</v>
      </c>
      <c r="K71" s="124">
        <v>12024</v>
      </c>
      <c r="L71" t="str">
        <v>CNY</v>
      </c>
      <c r="N71" t="str">
        <v>待确认</v>
      </c>
      <c r="P71">
        <f>G71</f>
      </c>
      <c r="Q71" s="125"/>
      <c r="T71">
        <f>B71</f>
      </c>
      <c r="Y71" s="123"/>
      <c r="Z71" s="123"/>
      <c r="AA71" s="123"/>
      <c r="AB71" s="123"/>
      <c r="AC71" s="125"/>
      <c r="AO71">
        <f>K71</f>
      </c>
      <c r="AQ71" s="123">
        <f>AO71/(1+AP71)</f>
      </c>
      <c r="AR71">
        <f>L71</f>
      </c>
    </row>
    <row r="72">
      <c r="A72" t="str">
        <v>国内</v>
      </c>
      <c r="B72" t="str">
        <v>VA</v>
      </c>
      <c r="C72" t="str">
        <v>照明</v>
      </c>
      <c r="D72" t="str" xml:space="preserve">
        <v> </v>
      </c>
      <c r="E72" t="str" xml:space="preserve">
        <v> </v>
      </c>
      <c r="F72" t="str" xml:space="preserve">
        <v> </v>
      </c>
      <c r="G72" t="str">
        <v>UNIN2404260增补</v>
      </c>
      <c r="H72">
        <v>20240715</v>
      </c>
      <c r="I72" t="str">
        <v>华东</v>
      </c>
      <c r="J72" t="str">
        <v>上海</v>
      </c>
      <c r="K72" s="126">
        <v>3511.52</v>
      </c>
      <c r="L72" t="str">
        <v>CNY</v>
      </c>
      <c r="N72" t="str">
        <v>待确认</v>
      </c>
      <c r="P72">
        <f>G72</f>
      </c>
      <c r="Q72" s="125"/>
      <c r="T72">
        <f>B72</f>
      </c>
      <c r="Y72" s="123"/>
      <c r="Z72" s="123"/>
      <c r="AA72" s="123"/>
      <c r="AB72" s="123"/>
      <c r="AC72" s="125"/>
      <c r="AO72">
        <f>K72</f>
      </c>
      <c r="AQ72" s="123">
        <f>AO72/(1+AP72)</f>
      </c>
      <c r="AR72">
        <f>L72</f>
      </c>
    </row>
    <row r="73">
      <c r="A73" t="str">
        <v>国内</v>
      </c>
      <c r="B73" t="str">
        <v>VA</v>
      </c>
      <c r="C73" t="str">
        <v>照明</v>
      </c>
      <c r="D73" t="str" xml:space="preserve">
        <v> </v>
      </c>
      <c r="E73" t="str" xml:space="preserve">
        <v> </v>
      </c>
      <c r="F73" t="str" xml:space="preserve">
        <v> </v>
      </c>
      <c r="G73" t="str">
        <v>UNIN2406319</v>
      </c>
      <c r="H73">
        <v>20240715</v>
      </c>
      <c r="I73" t="str">
        <v>华东</v>
      </c>
      <c r="J73" t="str">
        <v>江苏</v>
      </c>
      <c r="K73" s="124">
        <v>210940</v>
      </c>
      <c r="L73" t="str">
        <v>CNY</v>
      </c>
      <c r="N73" t="str">
        <v>待确认</v>
      </c>
      <c r="P73">
        <f>G73</f>
      </c>
      <c r="Q73" s="125"/>
      <c r="T73">
        <f>B73</f>
      </c>
      <c r="Y73" s="123"/>
      <c r="Z73" s="123"/>
      <c r="AA73" s="123"/>
      <c r="AB73" s="123"/>
      <c r="AC73" s="125"/>
      <c r="AO73">
        <f>K73</f>
      </c>
      <c r="AQ73" s="123">
        <f>AO73/(1+AP73)</f>
      </c>
      <c r="AR73">
        <f>L73</f>
      </c>
    </row>
    <row r="74">
      <c r="A74" t="str">
        <v>国内</v>
      </c>
      <c r="B74" t="str">
        <v>VA</v>
      </c>
      <c r="C74" t="str">
        <v>照明</v>
      </c>
      <c r="D74" t="str" xml:space="preserve">
        <v> </v>
      </c>
      <c r="E74" t="str" xml:space="preserve">
        <v> </v>
      </c>
      <c r="F74" t="str" xml:space="preserve">
        <v> </v>
      </c>
      <c r="G74" t="str">
        <v>UNIN2406346</v>
      </c>
      <c r="H74">
        <v>20240715</v>
      </c>
      <c r="I74" t="str">
        <v>华东</v>
      </c>
      <c r="J74" t="str">
        <v>上海</v>
      </c>
      <c r="K74" s="126">
        <v>96132.64</v>
      </c>
      <c r="L74" t="str">
        <v>CNY</v>
      </c>
      <c r="N74" t="str">
        <v>待确认</v>
      </c>
      <c r="P74">
        <f>G74</f>
      </c>
      <c r="Q74" s="125"/>
      <c r="T74">
        <f>B74</f>
      </c>
      <c r="Y74" s="123"/>
      <c r="Z74" s="123"/>
      <c r="AA74" s="123"/>
      <c r="AB74" s="123"/>
      <c r="AC74" s="125"/>
      <c r="AO74">
        <f>K74</f>
      </c>
      <c r="AQ74" s="123">
        <f>AO74/(1+AP74)</f>
      </c>
      <c r="AR74">
        <f>L74</f>
      </c>
    </row>
    <row r="75">
      <c r="A75" t="str">
        <v>国内</v>
      </c>
      <c r="B75" t="str">
        <v>VA</v>
      </c>
      <c r="C75" t="str">
        <v>照明</v>
      </c>
      <c r="D75" t="str" xml:space="preserve">
        <v> </v>
      </c>
      <c r="E75" t="str" xml:space="preserve">
        <v> </v>
      </c>
      <c r="F75" t="str" xml:space="preserve">
        <v> </v>
      </c>
      <c r="G75" t="str">
        <v>UNIN2406348</v>
      </c>
      <c r="H75">
        <v>20240715</v>
      </c>
      <c r="I75" t="str">
        <v>华东</v>
      </c>
      <c r="J75" t="str">
        <v>上海</v>
      </c>
      <c r="K75" s="126">
        <v>115203.82</v>
      </c>
      <c r="L75" t="str">
        <v>CNY</v>
      </c>
      <c r="N75" t="str">
        <v>待确认</v>
      </c>
      <c r="P75">
        <f>G75</f>
      </c>
      <c r="Q75" s="125"/>
      <c r="T75">
        <f>B75</f>
      </c>
      <c r="Y75" s="123"/>
      <c r="Z75" s="123"/>
      <c r="AA75" s="123"/>
      <c r="AB75" s="123"/>
      <c r="AC75" s="125"/>
      <c r="AO75">
        <f>K75</f>
      </c>
      <c r="AQ75" s="123">
        <f>AO75/(1+AP75)</f>
      </c>
      <c r="AR75">
        <f>L75</f>
      </c>
    </row>
    <row r="76">
      <c r="A76" t="str">
        <v>国内</v>
      </c>
      <c r="B76" t="str">
        <v>VA</v>
      </c>
      <c r="C76" t="str">
        <v>照明</v>
      </c>
      <c r="D76" t="str" xml:space="preserve">
        <v> </v>
      </c>
      <c r="E76" t="str" xml:space="preserve">
        <v> </v>
      </c>
      <c r="F76" t="str" xml:space="preserve">
        <v> </v>
      </c>
      <c r="G76" t="str">
        <v>UNIN2407359</v>
      </c>
      <c r="H76">
        <v>20240715</v>
      </c>
      <c r="I76" t="str">
        <v>华南</v>
      </c>
      <c r="J76" t="str">
        <v>深圳</v>
      </c>
      <c r="K76" s="124">
        <v>2050</v>
      </c>
      <c r="L76" t="str">
        <v>CNY</v>
      </c>
      <c r="N76" t="str">
        <v>待确认</v>
      </c>
      <c r="P76">
        <f>G76</f>
      </c>
      <c r="Q76" s="125"/>
      <c r="T76">
        <f>B76</f>
      </c>
      <c r="Y76" s="123"/>
      <c r="Z76" s="123"/>
      <c r="AA76" s="123"/>
      <c r="AB76" s="123"/>
      <c r="AC76" s="125"/>
      <c r="AO76">
        <f>K76</f>
      </c>
      <c r="AQ76" s="123">
        <f>AO76/(1+AP76)</f>
      </c>
      <c r="AR76">
        <f>L76</f>
      </c>
    </row>
    <row r="77">
      <c r="A77" t="str">
        <v>国内</v>
      </c>
      <c r="B77" t="str">
        <v>VA</v>
      </c>
      <c r="C77" t="str">
        <v>照明</v>
      </c>
      <c r="D77" t="str" xml:space="preserve">
        <v> </v>
      </c>
      <c r="E77" t="str" xml:space="preserve">
        <v> </v>
      </c>
      <c r="F77" t="str" xml:space="preserve">
        <v> </v>
      </c>
      <c r="G77" t="str">
        <v>UNIN2407360</v>
      </c>
      <c r="H77">
        <v>20240715</v>
      </c>
      <c r="I77" t="str">
        <v>华中</v>
      </c>
      <c r="J77" t="str">
        <v>江西</v>
      </c>
      <c r="K77" s="124">
        <v>31750</v>
      </c>
      <c r="L77" t="str">
        <v>CNY</v>
      </c>
      <c r="N77" t="str">
        <v>待确认</v>
      </c>
      <c r="P77">
        <f>G77</f>
      </c>
      <c r="Q77" s="125"/>
      <c r="T77">
        <f>B77</f>
      </c>
      <c r="Y77" s="123"/>
      <c r="Z77" s="123"/>
      <c r="AA77" s="123"/>
      <c r="AB77" s="123"/>
      <c r="AC77" s="125"/>
      <c r="AO77">
        <f>K77</f>
      </c>
      <c r="AQ77" s="123">
        <f>AO77/(1+AP77)</f>
      </c>
      <c r="AR77">
        <f>L77</f>
      </c>
    </row>
    <row r="78">
      <c r="A78" t="str">
        <v>国内</v>
      </c>
      <c r="B78" t="str">
        <v>VA</v>
      </c>
      <c r="C78" t="str">
        <v>照明</v>
      </c>
      <c r="D78" t="str" xml:space="preserve">
        <v> </v>
      </c>
      <c r="E78" t="str" xml:space="preserve">
        <v> </v>
      </c>
      <c r="F78" t="str" xml:space="preserve">
        <v> </v>
      </c>
      <c r="G78" t="str">
        <v>UNIN2405282</v>
      </c>
      <c r="H78">
        <v>20240715</v>
      </c>
      <c r="I78" t="str">
        <v>华南</v>
      </c>
      <c r="J78" t="str">
        <v>福建</v>
      </c>
      <c r="K78" s="124">
        <v>108960</v>
      </c>
      <c r="L78" t="str">
        <v>CNY</v>
      </c>
      <c r="N78" t="str">
        <v>待确认</v>
      </c>
      <c r="P78">
        <f>G78</f>
      </c>
      <c r="Q78" s="125"/>
      <c r="T78">
        <f>B78</f>
      </c>
      <c r="Y78" s="123"/>
      <c r="Z78" s="123"/>
      <c r="AA78" s="123"/>
      <c r="AB78" s="123"/>
      <c r="AC78" s="125"/>
      <c r="AO78">
        <f>K78</f>
      </c>
      <c r="AQ78" s="123">
        <f>AO78/(1+AP78)</f>
      </c>
      <c r="AR78">
        <f>L78</f>
      </c>
    </row>
    <row r="79">
      <c r="A79" t="str">
        <v>国内</v>
      </c>
      <c r="B79" t="str">
        <v>VA</v>
      </c>
      <c r="C79" t="str">
        <v>照明</v>
      </c>
      <c r="D79" t="str" xml:space="preserve">
        <v> </v>
      </c>
      <c r="E79" t="str" xml:space="preserve">
        <v> </v>
      </c>
      <c r="F79" t="str" xml:space="preserve">
        <v> </v>
      </c>
      <c r="G79" t="str">
        <v>UNIN2405288</v>
      </c>
      <c r="H79">
        <v>20240712</v>
      </c>
      <c r="I79" t="str">
        <v>华南</v>
      </c>
      <c r="J79" t="str">
        <v>深圳</v>
      </c>
      <c r="K79" s="124">
        <v>261486</v>
      </c>
      <c r="L79" t="str">
        <v>CNY</v>
      </c>
      <c r="N79" t="str">
        <v>待确认</v>
      </c>
      <c r="P79">
        <f>G79</f>
      </c>
      <c r="Q79" s="125"/>
      <c r="T79">
        <f>B79</f>
      </c>
      <c r="Y79" s="123"/>
      <c r="Z79" s="123"/>
      <c r="AA79" s="123"/>
      <c r="AB79" s="123"/>
      <c r="AC79" s="125"/>
      <c r="AO79">
        <f>K79</f>
      </c>
      <c r="AQ79" s="123">
        <f>AO79/(1+AP79)</f>
      </c>
      <c r="AR79">
        <f>L79</f>
      </c>
    </row>
    <row r="80">
      <c r="A80" t="str">
        <v>国内</v>
      </c>
      <c r="B80" t="str">
        <v>VA</v>
      </c>
      <c r="C80" t="str">
        <v>文创</v>
      </c>
      <c r="D80" t="str" xml:space="preserve">
        <v> </v>
      </c>
      <c r="E80" t="str" xml:space="preserve">
        <v> </v>
      </c>
      <c r="F80" t="str" xml:space="preserve">
        <v> </v>
      </c>
      <c r="G80" t="str">
        <v>JW20231115-1876-增补</v>
      </c>
      <c r="H80">
        <v>20240710</v>
      </c>
      <c r="I80" t="str">
        <v>华东</v>
      </c>
      <c r="J80" t="str">
        <v>江苏</v>
      </c>
      <c r="K80" s="124">
        <v>350</v>
      </c>
      <c r="L80" t="str">
        <v>CNY</v>
      </c>
      <c r="N80" t="str">
        <v>待确认</v>
      </c>
      <c r="P80">
        <f>G80</f>
      </c>
      <c r="Q80" s="125"/>
      <c r="T80">
        <f>B80</f>
      </c>
      <c r="Y80" s="123"/>
      <c r="Z80" s="123"/>
      <c r="AA80" s="123"/>
      <c r="AB80" s="123"/>
      <c r="AC80" s="125"/>
      <c r="AO80">
        <f>K80</f>
      </c>
      <c r="AQ80" s="123">
        <f>AO80/(1+AP80)</f>
      </c>
      <c r="AR80">
        <f>L80</f>
      </c>
    </row>
    <row r="81">
      <c r="A81" t="str">
        <v>国内</v>
      </c>
      <c r="B81" t="str">
        <v>VA</v>
      </c>
      <c r="C81" t="str">
        <v>文创</v>
      </c>
      <c r="D81" t="str" xml:space="preserve">
        <v> </v>
      </c>
      <c r="E81" t="str" xml:space="preserve">
        <v> </v>
      </c>
      <c r="F81" t="str" xml:space="preserve">
        <v> </v>
      </c>
      <c r="G81" t="str">
        <v>JW20240708-1948</v>
      </c>
      <c r="H81">
        <v>20240710</v>
      </c>
      <c r="I81" t="str">
        <v>西北</v>
      </c>
      <c r="J81" t="str">
        <v>新疆</v>
      </c>
      <c r="K81" s="124">
        <v>228235</v>
      </c>
      <c r="L81" t="str">
        <v>CNY</v>
      </c>
      <c r="N81" t="str">
        <v>待确认</v>
      </c>
      <c r="P81">
        <f>G81</f>
      </c>
      <c r="Q81" s="125"/>
      <c r="T81">
        <f>B81</f>
      </c>
      <c r="Y81" s="123"/>
      <c r="Z81" s="123"/>
      <c r="AA81" s="123"/>
      <c r="AB81" s="123"/>
      <c r="AC81" s="125"/>
      <c r="AO81">
        <f>K81</f>
      </c>
      <c r="AQ81" s="123">
        <f>AO81/(1+AP81)</f>
      </c>
      <c r="AR81">
        <f>L81</f>
      </c>
    </row>
    <row r="82">
      <c r="A82" t="str">
        <v>国内</v>
      </c>
      <c r="B82" t="str">
        <v>VA</v>
      </c>
      <c r="C82" t="str">
        <v>文创</v>
      </c>
      <c r="D82" t="str" xml:space="preserve">
        <v> </v>
      </c>
      <c r="E82" t="str" xml:space="preserve">
        <v> </v>
      </c>
      <c r="F82" t="str" xml:space="preserve">
        <v> </v>
      </c>
      <c r="G82" t="str">
        <v>OP2024060352</v>
      </c>
      <c r="H82">
        <v>20240710</v>
      </c>
      <c r="I82" t="str">
        <v>华北</v>
      </c>
      <c r="J82" t="str">
        <v>北京</v>
      </c>
      <c r="K82" s="124">
        <v>37000</v>
      </c>
      <c r="L82" t="str">
        <v>CNY</v>
      </c>
      <c r="N82" t="str">
        <v>待确认</v>
      </c>
      <c r="P82">
        <f>G82</f>
      </c>
      <c r="Q82" s="125"/>
      <c r="T82">
        <f>B82</f>
      </c>
      <c r="Y82" s="123"/>
      <c r="Z82" s="123"/>
      <c r="AA82" s="123"/>
      <c r="AB82" s="123"/>
      <c r="AC82" s="125"/>
      <c r="AO82">
        <f>K82</f>
      </c>
      <c r="AQ82" s="123">
        <f>AO82/(1+AP82)</f>
      </c>
      <c r="AR82">
        <f>L82</f>
      </c>
    </row>
    <row r="83">
      <c r="A83" t="str">
        <v>国内</v>
      </c>
      <c r="B83" t="str">
        <v>VA</v>
      </c>
      <c r="C83" t="str">
        <v>文创</v>
      </c>
      <c r="D83" t="str" xml:space="preserve">
        <v> </v>
      </c>
      <c r="E83" t="str" xml:space="preserve">
        <v> </v>
      </c>
      <c r="F83" t="str" xml:space="preserve">
        <v> </v>
      </c>
      <c r="G83" t="str">
        <v>JW20240708-1948</v>
      </c>
      <c r="H83">
        <v>20240710</v>
      </c>
      <c r="I83" t="str">
        <v>西北</v>
      </c>
      <c r="J83" t="str">
        <v>新疆</v>
      </c>
      <c r="K83" s="124">
        <v>228235</v>
      </c>
      <c r="L83" t="str">
        <v>CNY</v>
      </c>
      <c r="N83" t="str">
        <v>待确认</v>
      </c>
      <c r="P83">
        <f>G83</f>
      </c>
      <c r="Q83" s="125"/>
      <c r="T83">
        <f>B83</f>
      </c>
      <c r="Y83" s="123"/>
      <c r="Z83" s="123"/>
      <c r="AA83" s="123"/>
      <c r="AB83" s="123"/>
      <c r="AC83" s="125"/>
      <c r="AO83">
        <f>K83</f>
      </c>
      <c r="AQ83" s="123">
        <f>AO83/(1+AP83)</f>
      </c>
      <c r="AR83">
        <f>L83</f>
      </c>
    </row>
    <row r="84">
      <c r="A84" t="str">
        <v>国内</v>
      </c>
      <c r="B84" t="str">
        <v>VA</v>
      </c>
      <c r="C84" t="str">
        <v>文创</v>
      </c>
      <c r="D84" t="str" xml:space="preserve">
        <v> </v>
      </c>
      <c r="E84" t="str" xml:space="preserve">
        <v> </v>
      </c>
      <c r="F84" t="str" xml:space="preserve">
        <v> </v>
      </c>
      <c r="G84" t="str">
        <v>JW20231115-1876-增补</v>
      </c>
      <c r="H84">
        <v>20240710</v>
      </c>
      <c r="I84" t="str">
        <v>华东</v>
      </c>
      <c r="J84" t="str">
        <v>江苏</v>
      </c>
      <c r="K84">
        <v>350</v>
      </c>
      <c r="L84" t="str">
        <v>CNY</v>
      </c>
      <c r="N84" t="str">
        <v>待确认</v>
      </c>
      <c r="P84">
        <f>G84</f>
      </c>
      <c r="Q84" s="125"/>
      <c r="T84">
        <f>B84</f>
      </c>
      <c r="Y84" s="123"/>
      <c r="Z84" s="123"/>
      <c r="AA84" s="123"/>
      <c r="AB84" s="123"/>
      <c r="AC84" s="125"/>
      <c r="AO84">
        <f>K84</f>
      </c>
      <c r="AQ84" s="123">
        <f>AO84/(1+AP84)</f>
      </c>
      <c r="AR84">
        <f>L84</f>
      </c>
    </row>
    <row r="85">
      <c r="A85" t="str">
        <v>国内</v>
      </c>
      <c r="B85" t="str">
        <v>VA</v>
      </c>
      <c r="C85" t="str">
        <v>文创</v>
      </c>
      <c r="D85" t="str" xml:space="preserve">
        <v> </v>
      </c>
      <c r="E85" t="str" xml:space="preserve">
        <v> </v>
      </c>
      <c r="F85" t="str" xml:space="preserve">
        <v> </v>
      </c>
      <c r="G85" t="str">
        <v>OP2024060352</v>
      </c>
      <c r="H85">
        <v>20240710</v>
      </c>
      <c r="I85" t="str">
        <v>华北</v>
      </c>
      <c r="J85" t="str">
        <v>北京</v>
      </c>
      <c r="K85" s="124">
        <v>37000</v>
      </c>
      <c r="L85" t="str">
        <v>CNY</v>
      </c>
      <c r="N85" t="str">
        <v>待确认</v>
      </c>
      <c r="P85">
        <f>G85</f>
      </c>
      <c r="Q85" s="125"/>
      <c r="T85">
        <f>B85</f>
      </c>
      <c r="Y85" s="123"/>
      <c r="Z85" s="123"/>
      <c r="AA85" s="123"/>
      <c r="AB85" s="123"/>
      <c r="AC85" s="125"/>
      <c r="AO85">
        <f>K85</f>
      </c>
      <c r="AQ85" s="123">
        <f>AO85/(1+AP85)</f>
      </c>
      <c r="AR85">
        <f>L85</f>
      </c>
    </row>
    <row r="86">
      <c r="A86" t="str">
        <v>国内</v>
      </c>
      <c r="B86" t="str">
        <v>VA</v>
      </c>
      <c r="C86" t="str">
        <v>照明</v>
      </c>
      <c r="D86" t="str" xml:space="preserve">
        <v> </v>
      </c>
      <c r="E86" t="str" xml:space="preserve">
        <v> </v>
      </c>
      <c r="F86" t="str" xml:space="preserve">
        <v> </v>
      </c>
      <c r="G86" t="str">
        <v>UNIN2407357</v>
      </c>
      <c r="H86">
        <v>20240709</v>
      </c>
      <c r="I86" t="str">
        <v>东中</v>
      </c>
      <c r="J86" t="str">
        <v>安徽</v>
      </c>
      <c r="K86" s="124">
        <v>49600</v>
      </c>
      <c r="L86" t="str">
        <v>CNY</v>
      </c>
      <c r="N86" t="str">
        <v>待确认</v>
      </c>
      <c r="P86">
        <f>G86</f>
      </c>
      <c r="Q86" s="125"/>
      <c r="T86">
        <f>B86</f>
      </c>
      <c r="Y86" s="123"/>
      <c r="Z86" s="123"/>
      <c r="AA86" s="123"/>
      <c r="AB86" s="123"/>
      <c r="AC86" s="125"/>
      <c r="AO86">
        <f>K86</f>
      </c>
      <c r="AQ86" s="123">
        <f>AO86/(1+AP86)</f>
      </c>
      <c r="AR86">
        <f>L86</f>
      </c>
    </row>
    <row r="87">
      <c r="A87" t="str">
        <v>国内</v>
      </c>
      <c r="B87" t="str">
        <v>VA</v>
      </c>
      <c r="C87" t="str">
        <v>照明</v>
      </c>
      <c r="D87" t="str" xml:space="preserve">
        <v> </v>
      </c>
      <c r="E87" t="str" xml:space="preserve">
        <v> </v>
      </c>
      <c r="F87" t="str" xml:space="preserve">
        <v> </v>
      </c>
      <c r="G87" t="str">
        <v>UNIN2406330</v>
      </c>
      <c r="H87">
        <v>20240709</v>
      </c>
      <c r="I87" t="str">
        <v>华南</v>
      </c>
      <c r="J87" t="str">
        <v>广西</v>
      </c>
      <c r="K87" s="124">
        <v>134400</v>
      </c>
      <c r="L87" t="str">
        <v>CNY</v>
      </c>
      <c r="N87" t="str">
        <v>待确认</v>
      </c>
      <c r="P87">
        <f>G87</f>
      </c>
      <c r="Q87" s="125"/>
      <c r="T87">
        <f>B87</f>
      </c>
      <c r="Y87" s="123"/>
      <c r="Z87" s="123"/>
      <c r="AA87" s="123"/>
      <c r="AB87" s="123"/>
      <c r="AC87" s="125"/>
      <c r="AO87">
        <f>K87</f>
      </c>
      <c r="AQ87" s="123">
        <f>AO87/(1+AP87)</f>
      </c>
      <c r="AR87">
        <f>L87</f>
      </c>
    </row>
    <row r="88">
      <c r="A88" t="str">
        <v>国内</v>
      </c>
      <c r="B88" t="str">
        <v>VA</v>
      </c>
      <c r="C88" t="str">
        <v>照明</v>
      </c>
      <c r="D88" t="str" xml:space="preserve">
        <v> </v>
      </c>
      <c r="E88" t="str" xml:space="preserve">
        <v> </v>
      </c>
      <c r="F88" t="str" xml:space="preserve">
        <v> </v>
      </c>
      <c r="G88" t="str">
        <v>UNIN2403223增补</v>
      </c>
      <c r="H88">
        <v>20240709</v>
      </c>
      <c r="I88" t="str">
        <v>华南</v>
      </c>
      <c r="J88" t="str">
        <v>深圳</v>
      </c>
      <c r="K88" s="124">
        <v>11100</v>
      </c>
      <c r="L88" t="str">
        <v>CNY</v>
      </c>
      <c r="N88" t="str">
        <v>待确认</v>
      </c>
      <c r="P88">
        <f>G88</f>
      </c>
      <c r="Q88" s="125"/>
      <c r="T88">
        <f>B88</f>
      </c>
      <c r="Y88" s="123"/>
      <c r="Z88" s="123"/>
      <c r="AA88" s="123"/>
      <c r="AB88" s="123"/>
      <c r="AC88" s="125"/>
      <c r="AO88">
        <f>K88</f>
      </c>
      <c r="AQ88" s="123">
        <f>AO88/(1+AP88)</f>
      </c>
      <c r="AR88">
        <f>L88</f>
      </c>
    </row>
    <row r="89">
      <c r="A89" t="str">
        <v>国内</v>
      </c>
      <c r="B89" t="str">
        <v>VA</v>
      </c>
      <c r="C89" t="str">
        <v>照明</v>
      </c>
      <c r="D89" t="str" xml:space="preserve">
        <v> </v>
      </c>
      <c r="E89" t="str" xml:space="preserve">
        <v> </v>
      </c>
      <c r="F89" t="str" xml:space="preserve">
        <v> </v>
      </c>
      <c r="G89" t="str">
        <v>UNIN2407354</v>
      </c>
      <c r="H89">
        <v>20240709</v>
      </c>
      <c r="I89" t="str">
        <v>东中</v>
      </c>
      <c r="J89" t="str">
        <v>安徽</v>
      </c>
      <c r="K89" s="124">
        <v>64236</v>
      </c>
      <c r="L89" t="str">
        <v>CNY</v>
      </c>
      <c r="N89" t="str">
        <v>待确认</v>
      </c>
      <c r="P89">
        <f>G89</f>
      </c>
      <c r="Q89" s="125"/>
      <c r="T89">
        <f>B89</f>
      </c>
      <c r="Y89" s="123"/>
      <c r="Z89" s="123"/>
      <c r="AA89" s="123"/>
      <c r="AB89" s="123"/>
      <c r="AC89" s="125"/>
      <c r="AO89">
        <f>K89</f>
      </c>
      <c r="AQ89" s="123">
        <f>AO89/(1+AP89)</f>
      </c>
      <c r="AR89">
        <f>L89</f>
      </c>
    </row>
    <row r="90">
      <c r="A90" t="str">
        <v>国内</v>
      </c>
      <c r="B90" t="str">
        <v>VA</v>
      </c>
      <c r="C90" t="str">
        <v>照明</v>
      </c>
      <c r="D90" t="str" xml:space="preserve">
        <v> </v>
      </c>
      <c r="E90" t="str" xml:space="preserve">
        <v> </v>
      </c>
      <c r="F90" t="str" xml:space="preserve">
        <v> </v>
      </c>
      <c r="G90" t="str">
        <v>UNIN2407352</v>
      </c>
      <c r="H90">
        <v>20240708</v>
      </c>
      <c r="I90" t="str">
        <v>西北</v>
      </c>
      <c r="J90" t="str">
        <v>陕西</v>
      </c>
      <c r="K90" s="124">
        <v>20069</v>
      </c>
      <c r="L90" t="str">
        <v>CNY</v>
      </c>
      <c r="N90" t="str">
        <v>待确认</v>
      </c>
      <c r="P90">
        <f>G90</f>
      </c>
      <c r="Q90" s="125"/>
      <c r="T90">
        <f>B90</f>
      </c>
      <c r="Y90" s="123"/>
      <c r="Z90" s="123"/>
      <c r="AA90" s="123"/>
      <c r="AB90" s="123"/>
      <c r="AC90" s="125"/>
      <c r="AO90">
        <f>K90</f>
      </c>
      <c r="AQ90" s="123">
        <f>AO90/(1+AP90)</f>
      </c>
      <c r="AR90">
        <f>L90</f>
      </c>
    </row>
    <row r="91">
      <c r="A91" t="str">
        <v>国内</v>
      </c>
      <c r="B91" t="str">
        <v>VA</v>
      </c>
      <c r="C91" t="str">
        <v>照明</v>
      </c>
      <c r="D91" t="str" xml:space="preserve">
        <v> </v>
      </c>
      <c r="E91" t="str" xml:space="preserve">
        <v> </v>
      </c>
      <c r="F91" t="str" xml:space="preserve">
        <v> </v>
      </c>
      <c r="G91" t="str">
        <v>UNIN2205126增补</v>
      </c>
      <c r="H91">
        <v>20240705</v>
      </c>
      <c r="I91" t="str">
        <v>华南</v>
      </c>
      <c r="J91" t="str">
        <v>深圳</v>
      </c>
      <c r="K91" s="124">
        <v>41970</v>
      </c>
      <c r="L91" t="str">
        <v>CNY</v>
      </c>
      <c r="N91" t="str">
        <v>待确认</v>
      </c>
      <c r="P91">
        <f>G91</f>
      </c>
      <c r="Q91" s="125"/>
      <c r="T91">
        <f>B91</f>
      </c>
      <c r="Y91" s="123"/>
      <c r="Z91" s="123"/>
      <c r="AA91" s="123"/>
      <c r="AB91" s="123"/>
      <c r="AC91" s="125"/>
      <c r="AO91">
        <f>K91</f>
      </c>
      <c r="AQ91" s="123">
        <f>AO91/(1+AP91)</f>
      </c>
      <c r="AR91">
        <f>L91</f>
      </c>
    </row>
    <row r="92">
      <c r="A92" t="str">
        <v>国内</v>
      </c>
      <c r="B92" t="str">
        <v>VA</v>
      </c>
      <c r="C92" t="str">
        <v>照明</v>
      </c>
      <c r="D92" t="str" xml:space="preserve">
        <v> </v>
      </c>
      <c r="E92" t="str" xml:space="preserve">
        <v> </v>
      </c>
      <c r="F92" t="str" xml:space="preserve">
        <v> </v>
      </c>
      <c r="G92" t="str">
        <v>UNIN2406327</v>
      </c>
      <c r="H92">
        <v>20240703</v>
      </c>
      <c r="I92" t="str">
        <v>华南</v>
      </c>
      <c r="J92" t="str">
        <v>深圳</v>
      </c>
      <c r="K92" s="124">
        <v>5040</v>
      </c>
      <c r="L92" t="str">
        <v>CNY</v>
      </c>
      <c r="N92" t="str">
        <v>待确认</v>
      </c>
      <c r="P92">
        <f>G92</f>
      </c>
      <c r="Q92" s="125"/>
      <c r="T92">
        <f>B92</f>
      </c>
      <c r="Y92" s="123"/>
      <c r="Z92" s="123"/>
      <c r="AA92" s="123"/>
      <c r="AB92" s="123"/>
      <c r="AC92" s="125"/>
      <c r="AO92">
        <f>K92</f>
      </c>
      <c r="AQ92" s="123">
        <f>AO92/(1+AP92)</f>
      </c>
      <c r="AR92">
        <f>L92</f>
      </c>
    </row>
    <row r="93">
      <c r="A93" t="str">
        <v>国内</v>
      </c>
      <c r="B93" t="str">
        <v>VA</v>
      </c>
      <c r="C93" t="str">
        <v>照明</v>
      </c>
      <c r="D93" t="str" xml:space="preserve">
        <v> </v>
      </c>
      <c r="E93" t="str" xml:space="preserve">
        <v> </v>
      </c>
      <c r="F93" t="str" xml:space="preserve">
        <v> </v>
      </c>
      <c r="G93" t="str">
        <v>UNIN2407351</v>
      </c>
      <c r="H93">
        <v>20240703</v>
      </c>
      <c r="I93" t="str">
        <v>西南</v>
      </c>
      <c r="J93" t="str">
        <v>云南</v>
      </c>
      <c r="K93" s="124">
        <v>7650</v>
      </c>
      <c r="L93" t="str">
        <v>CNY</v>
      </c>
      <c r="N93" t="str">
        <v>待确认</v>
      </c>
      <c r="P93">
        <f>G93</f>
      </c>
      <c r="Q93" s="125"/>
      <c r="T93">
        <f>B93</f>
      </c>
      <c r="Y93" s="123"/>
      <c r="Z93" s="123"/>
      <c r="AA93" s="123"/>
      <c r="AB93" s="123"/>
      <c r="AC93" s="125"/>
      <c r="AO93">
        <f>K93</f>
      </c>
      <c r="AQ93" s="123">
        <f>AO93/(1+AP93)</f>
      </c>
      <c r="AR93">
        <f>L93</f>
      </c>
    </row>
    <row r="94">
      <c r="A94" t="str">
        <v>国内</v>
      </c>
      <c r="B94" t="str">
        <v>VA</v>
      </c>
      <c r="C94" t="str">
        <v>照明</v>
      </c>
      <c r="D94" t="str" xml:space="preserve">
        <v> </v>
      </c>
      <c r="E94" t="str" xml:space="preserve">
        <v> </v>
      </c>
      <c r="F94" t="str" xml:space="preserve">
        <v> </v>
      </c>
      <c r="G94" t="str">
        <v>UNIN2406329</v>
      </c>
      <c r="H94">
        <v>20240703</v>
      </c>
      <c r="I94" t="str">
        <v>华东</v>
      </c>
      <c r="J94" t="str">
        <v>上海</v>
      </c>
      <c r="K94" s="126">
        <v>365491.7</v>
      </c>
      <c r="L94" t="str">
        <v>CNY</v>
      </c>
      <c r="N94" t="str">
        <v>待确认</v>
      </c>
      <c r="P94">
        <f>G94</f>
      </c>
      <c r="Q94" s="125"/>
      <c r="T94">
        <f>B94</f>
      </c>
      <c r="Y94" s="123"/>
      <c r="Z94" s="123"/>
      <c r="AA94" s="123"/>
      <c r="AB94" s="123"/>
      <c r="AC94" s="125"/>
      <c r="AO94">
        <f>K94</f>
      </c>
      <c r="AQ94" s="123">
        <f>AO94/(1+AP94)</f>
      </c>
      <c r="AR94">
        <f>L94</f>
      </c>
    </row>
    <row r="95">
      <c r="A95" t="str">
        <v>国内</v>
      </c>
      <c r="B95" t="str">
        <v>VA</v>
      </c>
      <c r="C95" t="str">
        <v>照明</v>
      </c>
      <c r="D95" t="str" xml:space="preserve">
        <v> </v>
      </c>
      <c r="E95" t="str" xml:space="preserve">
        <v> </v>
      </c>
      <c r="F95" t="str" xml:space="preserve">
        <v> </v>
      </c>
      <c r="G95" t="str">
        <v>UNIN2406317</v>
      </c>
      <c r="H95">
        <v>20240703</v>
      </c>
      <c r="I95" t="str">
        <v>西北</v>
      </c>
      <c r="J95" t="str">
        <v>陕西</v>
      </c>
      <c r="K95" s="124">
        <v>15120</v>
      </c>
      <c r="L95" t="str">
        <v>CNY</v>
      </c>
      <c r="N95" t="str">
        <v>待确认</v>
      </c>
      <c r="P95">
        <f>G95</f>
      </c>
      <c r="Q95" s="125"/>
      <c r="T95">
        <f>B95</f>
      </c>
      <c r="Y95" s="123"/>
      <c r="Z95" s="123"/>
      <c r="AA95" s="123"/>
      <c r="AB95" s="123"/>
      <c r="AC95" s="125"/>
      <c r="AO95">
        <f>K95</f>
      </c>
      <c r="AQ95" s="123">
        <f>AO95/(1+AP95)</f>
      </c>
      <c r="AR95">
        <f>L95</f>
      </c>
    </row>
    <row r="96">
      <c r="A96" t="str">
        <v>国内</v>
      </c>
      <c r="B96" t="str">
        <v>VA</v>
      </c>
      <c r="C96" t="str">
        <v>照明</v>
      </c>
      <c r="D96" t="str" xml:space="preserve">
        <v> </v>
      </c>
      <c r="E96" t="str" xml:space="preserve">
        <v> </v>
      </c>
      <c r="F96" t="str" xml:space="preserve">
        <v> </v>
      </c>
      <c r="G96" t="str">
        <v>UNIN2406328</v>
      </c>
      <c r="H96">
        <v>20240703</v>
      </c>
      <c r="I96" t="str">
        <v>华东</v>
      </c>
      <c r="J96" t="str">
        <v>上海</v>
      </c>
      <c r="K96" s="126">
        <v>368961.08</v>
      </c>
      <c r="L96" t="str">
        <v>CNY</v>
      </c>
      <c r="N96" t="str">
        <v>待确认</v>
      </c>
      <c r="P96">
        <f>G96</f>
      </c>
      <c r="Q96" s="125"/>
      <c r="T96">
        <f>B96</f>
      </c>
      <c r="Y96" s="123"/>
      <c r="Z96" s="123"/>
      <c r="AA96" s="123"/>
      <c r="AB96" s="123"/>
      <c r="AC96" s="125"/>
      <c r="AO96">
        <f>K96</f>
      </c>
      <c r="AQ96" s="123">
        <f>AO96/(1+AP96)</f>
      </c>
      <c r="AR96">
        <f>L96</f>
      </c>
    </row>
    <row r="97">
      <c r="A97" t="str">
        <v>国内</v>
      </c>
      <c r="B97" t="str">
        <v>VA</v>
      </c>
      <c r="C97" t="str">
        <v>照明</v>
      </c>
      <c r="D97" t="str" xml:space="preserve">
        <v> </v>
      </c>
      <c r="E97" t="str" xml:space="preserve">
        <v> </v>
      </c>
      <c r="F97" t="str" xml:space="preserve">
        <v> </v>
      </c>
      <c r="G97" t="str">
        <v>UNIN2406341</v>
      </c>
      <c r="H97">
        <v>20240701</v>
      </c>
      <c r="I97" t="str">
        <v>西南</v>
      </c>
      <c r="J97" t="str">
        <v>贵州</v>
      </c>
      <c r="K97" s="124">
        <v>455644</v>
      </c>
      <c r="L97" t="str">
        <v>CNY</v>
      </c>
      <c r="N97" t="str">
        <v>待确认</v>
      </c>
      <c r="P97">
        <f>G97</f>
      </c>
      <c r="Q97" s="125"/>
      <c r="T97">
        <f>B97</f>
      </c>
      <c r="Y97" s="123"/>
      <c r="Z97" s="123"/>
      <c r="AA97" s="123"/>
      <c r="AB97" s="123"/>
      <c r="AC97" s="125"/>
      <c r="AO97">
        <f>K97</f>
      </c>
      <c r="AQ97" s="123">
        <f>AO97/(1+AP97)</f>
      </c>
      <c r="AR97">
        <f>L97</f>
      </c>
    </row>
    <row r="98">
      <c r="A98" t="str">
        <v>国内</v>
      </c>
      <c r="B98" t="str">
        <v>VA</v>
      </c>
      <c r="C98" t="str">
        <v>文创</v>
      </c>
      <c r="D98" t="str" xml:space="preserve">
        <v> </v>
      </c>
      <c r="E98" t="str" xml:space="preserve">
        <v> </v>
      </c>
      <c r="F98" t="str" xml:space="preserve">
        <v> </v>
      </c>
      <c r="G98" t="str">
        <v>JW20240628-1944</v>
      </c>
      <c r="H98">
        <v>20240630</v>
      </c>
      <c r="I98" t="str">
        <v>华东</v>
      </c>
      <c r="J98" t="str">
        <v>上海</v>
      </c>
      <c r="K98" s="124">
        <v>400000</v>
      </c>
      <c r="L98" t="str">
        <v>CNY</v>
      </c>
      <c r="N98" t="str">
        <v>待确认</v>
      </c>
      <c r="P98">
        <f>G98</f>
      </c>
      <c r="Q98" s="125"/>
      <c r="T98">
        <f>B98</f>
      </c>
      <c r="Y98" s="123"/>
      <c r="Z98" s="123"/>
      <c r="AA98" s="123"/>
      <c r="AB98" s="123"/>
      <c r="AC98" s="125"/>
      <c r="AO98">
        <f>K98</f>
      </c>
      <c r="AQ98" s="123">
        <f>AO98/(1+AP98)</f>
      </c>
      <c r="AR98">
        <f>L98</f>
      </c>
    </row>
    <row r="99">
      <c r="A99" t="str">
        <v>国内</v>
      </c>
      <c r="B99" t="str">
        <v>VA</v>
      </c>
      <c r="C99" t="str">
        <v>文创</v>
      </c>
      <c r="D99" t="str" xml:space="preserve">
        <v> </v>
      </c>
      <c r="E99" t="str" xml:space="preserve">
        <v> </v>
      </c>
      <c r="F99" t="str" xml:space="preserve">
        <v> </v>
      </c>
      <c r="G99" t="str">
        <v>JW20240628-1944</v>
      </c>
      <c r="H99">
        <v>20240630</v>
      </c>
      <c r="I99" t="str">
        <v>华东</v>
      </c>
      <c r="J99" t="str">
        <v>上海</v>
      </c>
      <c r="K99" s="124">
        <v>400000</v>
      </c>
      <c r="L99" t="str">
        <v>CNY</v>
      </c>
      <c r="N99" t="str">
        <v>待确认</v>
      </c>
      <c r="P99">
        <f>G99</f>
      </c>
      <c r="Q99" s="125"/>
      <c r="T99">
        <f>B99</f>
      </c>
      <c r="Y99" s="123"/>
      <c r="Z99" s="123"/>
      <c r="AA99" s="123"/>
      <c r="AB99" s="123"/>
      <c r="AC99" s="125"/>
      <c r="AO99">
        <f>K99</f>
      </c>
      <c r="AQ99" s="123">
        <f>AO99/(1+AP99)</f>
      </c>
      <c r="AR99">
        <f>L99</f>
      </c>
    </row>
    <row r="100">
      <c r="A100" t="str">
        <v>国内</v>
      </c>
      <c r="B100" t="str">
        <v>VA</v>
      </c>
      <c r="C100" t="str">
        <v>照明</v>
      </c>
      <c r="D100" t="str" xml:space="preserve">
        <v> </v>
      </c>
      <c r="E100" t="str" xml:space="preserve">
        <v> </v>
      </c>
      <c r="F100" t="str" xml:space="preserve">
        <v> </v>
      </c>
      <c r="G100" t="str">
        <v>UNIN2406336</v>
      </c>
      <c r="H100">
        <v>20240628</v>
      </c>
      <c r="I100" t="str">
        <v>华南</v>
      </c>
      <c r="J100" t="str">
        <v>广州</v>
      </c>
      <c r="K100" s="124">
        <v>1240349</v>
      </c>
      <c r="L100" t="str">
        <v>CNY</v>
      </c>
      <c r="N100" t="str">
        <v>待确认</v>
      </c>
      <c r="P100">
        <f>G100</f>
      </c>
      <c r="Q100" s="125"/>
      <c r="T100">
        <f>B100</f>
      </c>
      <c r="Y100" s="123"/>
      <c r="Z100" s="123"/>
      <c r="AA100" s="123"/>
      <c r="AB100" s="123"/>
      <c r="AC100" s="125"/>
      <c r="AO100">
        <f>K100</f>
      </c>
      <c r="AQ100" s="123">
        <f>AO100/(1+AP100)</f>
      </c>
      <c r="AR100">
        <f>L100</f>
      </c>
    </row>
    <row r="101">
      <c r="A101" t="str">
        <v>国内</v>
      </c>
      <c r="B101" t="str">
        <v>VA</v>
      </c>
      <c r="C101" t="str">
        <v>照明</v>
      </c>
      <c r="D101" t="str" xml:space="preserve">
        <v> </v>
      </c>
      <c r="E101" t="str" xml:space="preserve">
        <v> </v>
      </c>
      <c r="F101" t="str" xml:space="preserve">
        <v> </v>
      </c>
      <c r="G101" t="str">
        <v>UNIN2406340</v>
      </c>
      <c r="H101">
        <v>20240628</v>
      </c>
      <c r="I101" t="str">
        <v>东北</v>
      </c>
      <c r="J101" t="str">
        <v>辽宁</v>
      </c>
      <c r="K101" s="124">
        <v>446827</v>
      </c>
      <c r="L101" t="str">
        <v>CNY</v>
      </c>
      <c r="N101" t="str">
        <v>待确认</v>
      </c>
      <c r="P101">
        <f>G101</f>
      </c>
      <c r="Q101" s="125"/>
      <c r="T101">
        <f>B101</f>
      </c>
      <c r="Y101" s="123"/>
      <c r="Z101" s="123"/>
      <c r="AA101" s="123"/>
      <c r="AB101" s="123"/>
      <c r="AC101" s="125"/>
      <c r="AO101">
        <f>K101</f>
      </c>
      <c r="AQ101" s="123">
        <f>AO101/(1+AP101)</f>
      </c>
      <c r="AR101">
        <f>L101</f>
      </c>
    </row>
    <row r="102">
      <c r="A102" t="str">
        <v>国内</v>
      </c>
      <c r="B102" t="str">
        <v>VA</v>
      </c>
      <c r="C102" t="str">
        <v>照明</v>
      </c>
      <c r="D102" t="str" xml:space="preserve">
        <v> </v>
      </c>
      <c r="E102" t="str" xml:space="preserve">
        <v> </v>
      </c>
      <c r="F102" t="str" xml:space="preserve">
        <v> </v>
      </c>
      <c r="G102" t="str">
        <v>UNIN2208225增补2</v>
      </c>
      <c r="H102">
        <v>20240628</v>
      </c>
      <c r="I102" t="str">
        <v>东中</v>
      </c>
      <c r="J102" t="str">
        <v>安徽</v>
      </c>
      <c r="K102" s="124">
        <v>7500</v>
      </c>
      <c r="L102" t="str">
        <v>CNY</v>
      </c>
      <c r="N102" t="str">
        <v>待确认</v>
      </c>
      <c r="P102">
        <f>G102</f>
      </c>
      <c r="Q102" s="125"/>
      <c r="T102">
        <f>B102</f>
      </c>
      <c r="Y102" s="123"/>
      <c r="Z102" s="123"/>
      <c r="AA102" s="123"/>
      <c r="AB102" s="123"/>
      <c r="AC102" s="125"/>
      <c r="AO102">
        <f>K102</f>
      </c>
      <c r="AQ102" s="123">
        <f>AO102/(1+AP102)</f>
      </c>
      <c r="AR102">
        <f>L102</f>
      </c>
    </row>
    <row r="103">
      <c r="A103" t="str">
        <v>国内</v>
      </c>
      <c r="B103" t="str">
        <v>VA</v>
      </c>
      <c r="C103" t="str">
        <v>照明</v>
      </c>
      <c r="D103" t="str" xml:space="preserve">
        <v> </v>
      </c>
      <c r="E103" t="str" xml:space="preserve">
        <v> </v>
      </c>
      <c r="F103" t="str" xml:space="preserve">
        <v> </v>
      </c>
      <c r="G103" t="str">
        <v>UNIN2406335</v>
      </c>
      <c r="H103">
        <v>20240628</v>
      </c>
      <c r="I103" t="str">
        <v>华中</v>
      </c>
      <c r="J103" t="str">
        <v>江西</v>
      </c>
      <c r="K103" s="124">
        <v>39450</v>
      </c>
      <c r="L103" t="str">
        <v>CNY</v>
      </c>
      <c r="N103" t="str">
        <v>待确认</v>
      </c>
      <c r="P103">
        <f>G103</f>
      </c>
      <c r="Q103" s="125"/>
      <c r="T103">
        <f>B103</f>
      </c>
      <c r="Y103" s="123"/>
      <c r="Z103" s="123"/>
      <c r="AA103" s="123"/>
      <c r="AB103" s="123"/>
      <c r="AC103" s="125"/>
      <c r="AO103">
        <f>K103</f>
      </c>
      <c r="AQ103" s="123">
        <f>AO103/(1+AP103)</f>
      </c>
      <c r="AR103">
        <f>L103</f>
      </c>
    </row>
    <row r="104">
      <c r="A104" t="str">
        <v>国内</v>
      </c>
      <c r="B104" t="str">
        <v>VA</v>
      </c>
      <c r="C104" t="str">
        <v>照明</v>
      </c>
      <c r="D104" t="str" xml:space="preserve">
        <v> </v>
      </c>
      <c r="E104" t="str" xml:space="preserve">
        <v> </v>
      </c>
      <c r="F104" t="str" xml:space="preserve">
        <v> </v>
      </c>
      <c r="G104" t="str">
        <v>UNIN2406333</v>
      </c>
      <c r="H104">
        <v>20240628</v>
      </c>
      <c r="I104" t="str">
        <v>华南</v>
      </c>
      <c r="J104" t="str">
        <v>福建</v>
      </c>
      <c r="K104" s="124">
        <v>11190</v>
      </c>
      <c r="L104" t="str">
        <v>CNY</v>
      </c>
      <c r="N104" t="str">
        <v>待确认</v>
      </c>
      <c r="P104">
        <f>G104</f>
      </c>
      <c r="Q104" s="125"/>
      <c r="T104">
        <f>B104</f>
      </c>
      <c r="Y104" s="123"/>
      <c r="Z104" s="123"/>
      <c r="AA104" s="123"/>
      <c r="AB104" s="123"/>
      <c r="AC104" s="125"/>
      <c r="AO104">
        <f>K104</f>
      </c>
      <c r="AQ104" s="123">
        <f>AO104/(1+AP104)</f>
      </c>
      <c r="AR104">
        <f>L104</f>
      </c>
    </row>
    <row r="105">
      <c r="A105" t="str">
        <v>国内</v>
      </c>
      <c r="B105" t="str">
        <v>VA</v>
      </c>
      <c r="C105" t="str">
        <v>照明</v>
      </c>
      <c r="D105" t="str" xml:space="preserve">
        <v> </v>
      </c>
      <c r="E105" t="str" xml:space="preserve">
        <v> </v>
      </c>
      <c r="F105" t="str" xml:space="preserve">
        <v> </v>
      </c>
      <c r="G105" t="str">
        <v>UNIN2406339</v>
      </c>
      <c r="H105">
        <v>20240627</v>
      </c>
      <c r="I105" t="str">
        <v>华南</v>
      </c>
      <c r="J105" t="str">
        <v>深圳</v>
      </c>
      <c r="K105" s="124">
        <v>1000</v>
      </c>
      <c r="L105" t="str">
        <v>CNY</v>
      </c>
      <c r="N105" t="str">
        <v>待确认</v>
      </c>
      <c r="P105">
        <f>G105</f>
      </c>
      <c r="Q105" s="125"/>
      <c r="T105">
        <f>B105</f>
      </c>
      <c r="Y105" s="123"/>
      <c r="Z105" s="123"/>
      <c r="AA105" s="123"/>
      <c r="AB105" s="123"/>
      <c r="AC105" s="125"/>
      <c r="AO105">
        <f>K105</f>
      </c>
      <c r="AQ105" s="123">
        <f>AO105/(1+AP105)</f>
      </c>
      <c r="AR105">
        <f>L105</f>
      </c>
    </row>
    <row r="106">
      <c r="A106" t="str">
        <v>国内</v>
      </c>
      <c r="B106" t="str">
        <v>VA</v>
      </c>
      <c r="C106" t="str">
        <v>照明</v>
      </c>
      <c r="D106" t="str" xml:space="preserve">
        <v> </v>
      </c>
      <c r="E106" t="str" xml:space="preserve">
        <v> </v>
      </c>
      <c r="F106" t="str" xml:space="preserve">
        <v> </v>
      </c>
      <c r="G106" t="str">
        <v>UNIN2406338</v>
      </c>
      <c r="H106">
        <v>20240627</v>
      </c>
      <c r="I106" t="str">
        <v>西南</v>
      </c>
      <c r="J106" t="str">
        <v>贵州</v>
      </c>
      <c r="K106" s="124">
        <v>11920</v>
      </c>
      <c r="L106" t="str">
        <v>CNY</v>
      </c>
      <c r="N106" t="str">
        <v>待确认</v>
      </c>
      <c r="P106">
        <f>G106</f>
      </c>
      <c r="Q106" s="125"/>
      <c r="T106">
        <f>B106</f>
      </c>
      <c r="Y106" s="123"/>
      <c r="Z106" s="123"/>
      <c r="AA106" s="123"/>
      <c r="AB106" s="123"/>
      <c r="AC106" s="125"/>
      <c r="AO106">
        <f>K106</f>
      </c>
      <c r="AQ106" s="123">
        <f>AO106/(1+AP106)</f>
      </c>
      <c r="AR106">
        <f>L106</f>
      </c>
    </row>
    <row r="107">
      <c r="A107" t="str">
        <v>国内</v>
      </c>
      <c r="B107" t="str">
        <v>VA</v>
      </c>
      <c r="C107" t="str">
        <v>照明</v>
      </c>
      <c r="D107" t="str" xml:space="preserve">
        <v> </v>
      </c>
      <c r="E107" t="str" xml:space="preserve">
        <v> </v>
      </c>
      <c r="F107" t="str" xml:space="preserve">
        <v> </v>
      </c>
      <c r="G107" t="str">
        <v>UNIN2406325</v>
      </c>
      <c r="H107">
        <v>20240627</v>
      </c>
      <c r="I107" t="str">
        <v>华南</v>
      </c>
      <c r="J107" t="str">
        <v>深圳</v>
      </c>
      <c r="K107" s="124">
        <v>8085</v>
      </c>
      <c r="L107" t="str">
        <v>CNY</v>
      </c>
      <c r="N107" t="str">
        <v>待确认</v>
      </c>
      <c r="P107">
        <f>G107</f>
      </c>
      <c r="Q107" s="125"/>
      <c r="T107">
        <f>B107</f>
      </c>
      <c r="Y107" s="123"/>
      <c r="Z107" s="123"/>
      <c r="AA107" s="123"/>
      <c r="AB107" s="123"/>
      <c r="AC107" s="125"/>
      <c r="AO107">
        <f>K107</f>
      </c>
      <c r="AQ107" s="123">
        <f>AO107/(1+AP107)</f>
      </c>
      <c r="AR107">
        <f>L107</f>
      </c>
    </row>
    <row r="108">
      <c r="A108" t="str">
        <v>国内</v>
      </c>
      <c r="B108" t="str">
        <v>VA</v>
      </c>
      <c r="C108" t="str">
        <v>照明</v>
      </c>
      <c r="D108" t="str" xml:space="preserve">
        <v> </v>
      </c>
      <c r="E108" t="str" xml:space="preserve">
        <v> </v>
      </c>
      <c r="F108" t="str" xml:space="preserve">
        <v> </v>
      </c>
      <c r="G108" t="str">
        <v>UNIN2406320</v>
      </c>
      <c r="H108">
        <v>20240627</v>
      </c>
      <c r="I108" t="str">
        <v>华北</v>
      </c>
      <c r="J108" t="str">
        <v>山西</v>
      </c>
      <c r="K108" s="124">
        <v>66600</v>
      </c>
      <c r="L108" t="str">
        <v>CNY</v>
      </c>
      <c r="N108" t="str">
        <v>待确认</v>
      </c>
      <c r="P108">
        <f>G108</f>
      </c>
      <c r="Q108" s="125"/>
      <c r="T108">
        <f>B108</f>
      </c>
      <c r="Y108" s="123"/>
      <c r="Z108" s="123"/>
      <c r="AA108" s="123"/>
      <c r="AB108" s="123"/>
      <c r="AC108" s="125"/>
      <c r="AO108">
        <f>K108</f>
      </c>
      <c r="AQ108" s="123">
        <f>AO108/(1+AP108)</f>
      </c>
      <c r="AR108">
        <f>L108</f>
      </c>
    </row>
    <row r="109">
      <c r="A109" t="str">
        <v>国内</v>
      </c>
      <c r="B109" t="str">
        <v>VA</v>
      </c>
      <c r="C109" t="str">
        <v>照明</v>
      </c>
      <c r="D109" t="str" xml:space="preserve">
        <v> </v>
      </c>
      <c r="E109" t="str" xml:space="preserve">
        <v> </v>
      </c>
      <c r="F109" t="str" xml:space="preserve">
        <v> </v>
      </c>
      <c r="G109" t="str">
        <v>UNIN2305121增补3</v>
      </c>
      <c r="H109">
        <v>20240626</v>
      </c>
      <c r="I109" t="str">
        <v>华南</v>
      </c>
      <c r="J109" t="str">
        <v>广州</v>
      </c>
      <c r="K109" s="124">
        <v>7780</v>
      </c>
      <c r="L109" t="str">
        <v>CNY</v>
      </c>
      <c r="N109" t="str">
        <v>待确认</v>
      </c>
      <c r="P109">
        <f>G109</f>
      </c>
      <c r="Q109" s="125"/>
      <c r="T109">
        <f>B109</f>
      </c>
      <c r="Y109" s="123"/>
      <c r="Z109" s="123"/>
      <c r="AA109" s="123"/>
      <c r="AB109" s="123"/>
      <c r="AC109" s="125"/>
      <c r="AO109">
        <f>K109</f>
      </c>
      <c r="AQ109" s="123">
        <f>AO109/(1+AP109)</f>
      </c>
      <c r="AR109">
        <f>L109</f>
      </c>
    </row>
    <row r="110">
      <c r="A110" t="str">
        <v>国内</v>
      </c>
      <c r="B110" t="str">
        <v>VA</v>
      </c>
      <c r="C110" t="str">
        <v>照明</v>
      </c>
      <c r="D110" t="str" xml:space="preserve">
        <v> </v>
      </c>
      <c r="E110" t="str" xml:space="preserve">
        <v> </v>
      </c>
      <c r="F110" t="str" xml:space="preserve">
        <v> </v>
      </c>
      <c r="G110" t="str">
        <v>UNIN2402036</v>
      </c>
      <c r="H110">
        <v>20240626</v>
      </c>
      <c r="I110" t="str">
        <v>华南</v>
      </c>
      <c r="J110" t="str">
        <v>广西</v>
      </c>
      <c r="K110" s="124">
        <v>7521055</v>
      </c>
      <c r="L110" t="str">
        <v>CNY</v>
      </c>
      <c r="N110" t="str">
        <v>待确认</v>
      </c>
      <c r="P110">
        <f>G110</f>
      </c>
      <c r="Q110" s="125"/>
      <c r="T110">
        <f>B110</f>
      </c>
      <c r="Y110" s="123"/>
      <c r="Z110" s="123"/>
      <c r="AA110" s="123"/>
      <c r="AB110" s="123"/>
      <c r="AC110" s="125"/>
      <c r="AO110">
        <f>K110</f>
      </c>
      <c r="AQ110" s="123">
        <f>AO110/(1+AP110)</f>
      </c>
      <c r="AR110">
        <f>L110</f>
      </c>
    </row>
    <row r="111">
      <c r="A111" t="str">
        <v>国内</v>
      </c>
      <c r="B111" t="str">
        <v>VA</v>
      </c>
      <c r="C111" t="str">
        <v>照明</v>
      </c>
      <c r="D111" t="str" xml:space="preserve">
        <v> </v>
      </c>
      <c r="E111" t="str" xml:space="preserve">
        <v> </v>
      </c>
      <c r="F111" t="str" xml:space="preserve">
        <v> </v>
      </c>
      <c r="G111" t="str">
        <v>UNIN2406322</v>
      </c>
      <c r="H111">
        <v>20240626</v>
      </c>
      <c r="I111" t="str">
        <v>华中</v>
      </c>
      <c r="J111" t="str">
        <v>山东</v>
      </c>
      <c r="K111" s="124">
        <v>17340</v>
      </c>
      <c r="L111" t="str">
        <v>CNY</v>
      </c>
      <c r="N111" t="str">
        <v>待确认</v>
      </c>
      <c r="P111">
        <f>G111</f>
      </c>
      <c r="Q111" s="125"/>
      <c r="T111">
        <f>B111</f>
      </c>
      <c r="Y111" s="123"/>
      <c r="Z111" s="123"/>
      <c r="AA111" s="123"/>
      <c r="AB111" s="123"/>
      <c r="AC111" s="125"/>
      <c r="AO111">
        <f>K111</f>
      </c>
      <c r="AQ111" s="123">
        <f>AO111/(1+AP111)</f>
      </c>
      <c r="AR111">
        <f>L111</f>
      </c>
    </row>
    <row r="112">
      <c r="A112" t="str">
        <v>国内</v>
      </c>
      <c r="B112" t="str">
        <v>VA</v>
      </c>
      <c r="C112" t="str">
        <v>照明</v>
      </c>
      <c r="D112" t="str" xml:space="preserve">
        <v> </v>
      </c>
      <c r="E112" t="str" xml:space="preserve">
        <v> </v>
      </c>
      <c r="F112" t="str" xml:space="preserve">
        <v> </v>
      </c>
      <c r="G112" t="str">
        <v>UNIN2406332</v>
      </c>
      <c r="H112">
        <v>20240625</v>
      </c>
      <c r="I112" t="str">
        <v>华南</v>
      </c>
      <c r="J112" t="str">
        <v>深圳</v>
      </c>
      <c r="K112" s="124">
        <v>29700</v>
      </c>
      <c r="L112" t="str">
        <v>CNY</v>
      </c>
      <c r="N112" t="str">
        <v>待确认</v>
      </c>
      <c r="P112">
        <f>G112</f>
      </c>
      <c r="Q112" s="125"/>
      <c r="T112">
        <f>B112</f>
      </c>
      <c r="Y112" s="123"/>
      <c r="Z112" s="123"/>
      <c r="AA112" s="123"/>
      <c r="AB112" s="123"/>
      <c r="AC112" s="125"/>
      <c r="AO112">
        <f>K112</f>
      </c>
      <c r="AQ112" s="123">
        <f>AO112/(1+AP112)</f>
      </c>
      <c r="AR112">
        <f>L112</f>
      </c>
    </row>
    <row r="113">
      <c r="A113" t="str">
        <v>国内</v>
      </c>
      <c r="B113" t="str">
        <v>VA</v>
      </c>
      <c r="C113" t="str">
        <v>照明</v>
      </c>
      <c r="D113" t="str" xml:space="preserve">
        <v> </v>
      </c>
      <c r="E113" t="str" xml:space="preserve">
        <v> </v>
      </c>
      <c r="F113" t="str" xml:space="preserve">
        <v> </v>
      </c>
      <c r="G113" t="str">
        <v>UNIN2406321</v>
      </c>
      <c r="H113">
        <v>20240621</v>
      </c>
      <c r="I113" t="str">
        <v>西北</v>
      </c>
      <c r="J113" t="str">
        <v>青海</v>
      </c>
      <c r="K113" s="124">
        <v>933738</v>
      </c>
      <c r="L113" t="str">
        <v>CNY</v>
      </c>
      <c r="N113" t="str">
        <v>待确认</v>
      </c>
      <c r="P113">
        <f>G113</f>
      </c>
      <c r="Q113" s="125"/>
      <c r="T113">
        <f>B113</f>
      </c>
      <c r="Y113" s="123"/>
      <c r="Z113" s="123"/>
      <c r="AA113" s="123"/>
      <c r="AB113" s="123"/>
      <c r="AC113" s="125"/>
      <c r="AO113">
        <f>K113</f>
      </c>
      <c r="AQ113" s="123">
        <f>AO113/(1+AP113)</f>
      </c>
      <c r="AR113">
        <f>L113</f>
      </c>
    </row>
    <row r="114">
      <c r="A114" t="str">
        <v>国内</v>
      </c>
      <c r="B114" t="str">
        <v>VA</v>
      </c>
      <c r="C114" t="str">
        <v>照明</v>
      </c>
      <c r="D114" t="str" xml:space="preserve">
        <v> </v>
      </c>
      <c r="E114" t="str" xml:space="preserve">
        <v> </v>
      </c>
      <c r="F114" t="str" xml:space="preserve">
        <v> </v>
      </c>
      <c r="G114" t="str">
        <v>UNIN2406326</v>
      </c>
      <c r="H114">
        <v>20240621</v>
      </c>
      <c r="I114" t="str">
        <v>华南</v>
      </c>
      <c r="J114" t="str">
        <v>深圳</v>
      </c>
      <c r="K114" s="124">
        <v>17520</v>
      </c>
      <c r="L114" t="str">
        <v>CNY</v>
      </c>
      <c r="N114" t="str">
        <v>待确认</v>
      </c>
      <c r="P114">
        <f>G114</f>
      </c>
      <c r="Q114" s="125"/>
      <c r="T114">
        <f>B114</f>
      </c>
      <c r="Y114" s="123"/>
      <c r="Z114" s="123"/>
      <c r="AA114" s="123"/>
      <c r="AB114" s="123"/>
      <c r="AC114" s="125"/>
      <c r="AO114">
        <f>K114</f>
      </c>
      <c r="AQ114" s="123">
        <f>AO114/(1+AP114)</f>
      </c>
      <c r="AR114">
        <f>L114</f>
      </c>
    </row>
    <row r="115">
      <c r="A115" t="str">
        <v>国内</v>
      </c>
      <c r="B115" t="str">
        <v>VA</v>
      </c>
      <c r="C115" t="str">
        <v>照明</v>
      </c>
      <c r="D115" t="str" xml:space="preserve">
        <v> </v>
      </c>
      <c r="E115" t="str" xml:space="preserve">
        <v> </v>
      </c>
      <c r="F115" t="str" xml:space="preserve">
        <v> </v>
      </c>
      <c r="G115" t="str">
        <v>UNIN2310320增补1</v>
      </c>
      <c r="H115">
        <v>20240621</v>
      </c>
      <c r="I115" t="str">
        <v>华南</v>
      </c>
      <c r="J115" t="str">
        <v>深圳</v>
      </c>
      <c r="K115" s="126">
        <v>1074387.5</v>
      </c>
      <c r="L115" t="str">
        <v>CNY</v>
      </c>
      <c r="N115" t="str">
        <v>待确认</v>
      </c>
      <c r="P115">
        <f>G115</f>
      </c>
      <c r="Q115" s="125"/>
      <c r="T115">
        <f>B115</f>
      </c>
      <c r="Y115" s="123"/>
      <c r="Z115" s="123"/>
      <c r="AA115" s="123"/>
      <c r="AB115" s="123"/>
      <c r="AC115" s="125"/>
      <c r="AO115">
        <f>K115</f>
      </c>
      <c r="AQ115" s="123">
        <f>AO115/(1+AP115)</f>
      </c>
      <c r="AR115">
        <f>L115</f>
      </c>
    </row>
    <row r="116">
      <c r="A116" t="str">
        <v>国内</v>
      </c>
      <c r="B116" t="str">
        <v>VA</v>
      </c>
      <c r="C116" t="str">
        <v>照明</v>
      </c>
      <c r="D116" t="str" xml:space="preserve">
        <v> </v>
      </c>
      <c r="E116" t="str" xml:space="preserve">
        <v> </v>
      </c>
      <c r="F116" t="str" xml:space="preserve">
        <v> </v>
      </c>
      <c r="G116" t="str">
        <v>UNIN2405304</v>
      </c>
      <c r="H116">
        <v>20240618</v>
      </c>
      <c r="I116" t="str">
        <v>华东</v>
      </c>
      <c r="J116" t="str">
        <v>上海</v>
      </c>
      <c r="K116" s="124">
        <v>266734</v>
      </c>
      <c r="L116" t="str">
        <v>CNY</v>
      </c>
      <c r="N116" t="str">
        <v>待确认</v>
      </c>
      <c r="P116">
        <f>G116</f>
      </c>
      <c r="Q116" s="125"/>
      <c r="T116">
        <f>B116</f>
      </c>
      <c r="Y116" s="123"/>
      <c r="Z116" s="123"/>
      <c r="AA116" s="123"/>
      <c r="AB116" s="123"/>
      <c r="AC116" s="125"/>
      <c r="AO116">
        <f>K116</f>
      </c>
      <c r="AQ116" s="123">
        <f>AO116/(1+AP116)</f>
      </c>
      <c r="AR116">
        <f>L116</f>
      </c>
    </row>
    <row r="117">
      <c r="A117" t="str">
        <v>国内</v>
      </c>
      <c r="B117" t="str">
        <v>VA</v>
      </c>
      <c r="C117" t="str">
        <v>照明</v>
      </c>
      <c r="D117" t="str" xml:space="preserve">
        <v> </v>
      </c>
      <c r="E117" t="str" xml:space="preserve">
        <v> </v>
      </c>
      <c r="F117" t="str" xml:space="preserve">
        <v> </v>
      </c>
      <c r="G117" t="str">
        <v>UNIN2404263</v>
      </c>
      <c r="H117">
        <v>20240618</v>
      </c>
      <c r="I117" t="str">
        <v>华南</v>
      </c>
      <c r="J117" t="str">
        <v>广西</v>
      </c>
      <c r="K117" s="124">
        <v>2720000</v>
      </c>
      <c r="L117" t="str">
        <v>CNY</v>
      </c>
      <c r="N117" t="str">
        <v>待确认</v>
      </c>
      <c r="P117">
        <f>G117</f>
      </c>
      <c r="Q117" s="125"/>
      <c r="T117">
        <f>B117</f>
      </c>
      <c r="Y117" s="123"/>
      <c r="Z117" s="123"/>
      <c r="AA117" s="123"/>
      <c r="AB117" s="123"/>
      <c r="AC117" s="125"/>
      <c r="AO117">
        <f>K117</f>
      </c>
      <c r="AQ117" s="123">
        <f>AO117/(1+AP117)</f>
      </c>
      <c r="AR117">
        <f>L117</f>
      </c>
    </row>
    <row r="118">
      <c r="A118" t="str">
        <v>国内</v>
      </c>
      <c r="B118" t="str">
        <v>VA</v>
      </c>
      <c r="C118" t="str">
        <v>照明</v>
      </c>
      <c r="D118" t="str" xml:space="preserve">
        <v> </v>
      </c>
      <c r="E118" t="str" xml:space="preserve">
        <v> </v>
      </c>
      <c r="F118" t="str" xml:space="preserve">
        <v> </v>
      </c>
      <c r="G118" t="str">
        <v>UNIN2309290增补2</v>
      </c>
      <c r="H118">
        <v>20240618</v>
      </c>
      <c r="I118" t="str">
        <v>华中</v>
      </c>
      <c r="J118" t="str">
        <v>江西</v>
      </c>
      <c r="K118" s="124">
        <v>12480</v>
      </c>
      <c r="L118" t="str">
        <v>CNY</v>
      </c>
      <c r="N118" t="str">
        <v>待确认</v>
      </c>
      <c r="P118">
        <f>G118</f>
      </c>
      <c r="Q118" s="125"/>
      <c r="T118">
        <f>B118</f>
      </c>
      <c r="Y118" s="123"/>
      <c r="Z118" s="123"/>
      <c r="AA118" s="123"/>
      <c r="AB118" s="123"/>
      <c r="AC118" s="125"/>
      <c r="AO118">
        <f>K118</f>
      </c>
      <c r="AQ118" s="123">
        <f>AO118/(1+AP118)</f>
      </c>
      <c r="AR118">
        <f>L118</f>
      </c>
    </row>
    <row r="119">
      <c r="A119" t="str">
        <v>国内</v>
      </c>
      <c r="B119" t="str">
        <v>VA</v>
      </c>
      <c r="C119" t="str">
        <v>照明</v>
      </c>
      <c r="D119" t="str" xml:space="preserve">
        <v> </v>
      </c>
      <c r="E119" t="str" xml:space="preserve">
        <v> </v>
      </c>
      <c r="F119" t="str" xml:space="preserve">
        <v> </v>
      </c>
      <c r="G119" t="str">
        <v>UNIN2405296</v>
      </c>
      <c r="H119">
        <v>20240618</v>
      </c>
      <c r="I119" t="str">
        <v>华南</v>
      </c>
      <c r="J119" t="str">
        <v>广州</v>
      </c>
      <c r="K119" s="124">
        <v>489031</v>
      </c>
      <c r="L119" t="str">
        <v>CNY</v>
      </c>
      <c r="N119" t="str">
        <v>待确认</v>
      </c>
      <c r="P119">
        <f>G119</f>
      </c>
      <c r="Q119" s="125"/>
      <c r="T119">
        <f>B119</f>
      </c>
      <c r="Y119" s="123"/>
      <c r="Z119" s="123"/>
      <c r="AA119" s="123"/>
      <c r="AB119" s="123"/>
      <c r="AC119" s="125"/>
      <c r="AO119">
        <f>K119</f>
      </c>
      <c r="AQ119" s="123">
        <f>AO119/(1+AP119)</f>
      </c>
      <c r="AR119">
        <f>L119</f>
      </c>
    </row>
    <row r="120">
      <c r="A120" t="str">
        <v>国内</v>
      </c>
      <c r="B120" t="str">
        <v>VA</v>
      </c>
      <c r="C120" t="str">
        <v>照明</v>
      </c>
      <c r="D120" t="str" xml:space="preserve">
        <v> </v>
      </c>
      <c r="E120" t="str" xml:space="preserve">
        <v> </v>
      </c>
      <c r="F120" t="str" xml:space="preserve">
        <v> </v>
      </c>
      <c r="G120" t="str">
        <v>UNIN2405295</v>
      </c>
      <c r="H120">
        <v>20240614</v>
      </c>
      <c r="I120" t="str">
        <v>华南</v>
      </c>
      <c r="J120" t="str">
        <v>广州</v>
      </c>
      <c r="K120" s="124">
        <v>498446</v>
      </c>
      <c r="L120" t="str">
        <v>CNY</v>
      </c>
      <c r="N120" t="str">
        <v>待确认</v>
      </c>
      <c r="P120">
        <f>G120</f>
      </c>
      <c r="Q120" s="125"/>
      <c r="T120">
        <f>B120</f>
      </c>
      <c r="Y120" s="123"/>
      <c r="Z120" s="123"/>
      <c r="AA120" s="123"/>
      <c r="AB120" s="123"/>
      <c r="AC120" s="125"/>
      <c r="AO120">
        <f>K120</f>
      </c>
      <c r="AQ120" s="123">
        <f>AO120/(1+AP120)</f>
      </c>
      <c r="AR120">
        <f>L120</f>
      </c>
    </row>
    <row r="121">
      <c r="A121" t="str">
        <v>国内</v>
      </c>
      <c r="B121" t="str">
        <v>VA</v>
      </c>
      <c r="C121" t="str">
        <v>照明</v>
      </c>
      <c r="D121" t="str" xml:space="preserve">
        <v> </v>
      </c>
      <c r="E121" t="str" xml:space="preserve">
        <v> </v>
      </c>
      <c r="F121" t="str" xml:space="preserve">
        <v> </v>
      </c>
      <c r="G121" t="str">
        <v>UNIN2406315</v>
      </c>
      <c r="H121">
        <v>20240614</v>
      </c>
      <c r="I121" t="str">
        <v>华北</v>
      </c>
      <c r="J121" t="str">
        <v>天津</v>
      </c>
      <c r="K121" s="124">
        <v>5200</v>
      </c>
      <c r="L121" t="str">
        <v>CNY</v>
      </c>
      <c r="N121" t="str">
        <v>待确认</v>
      </c>
      <c r="P121">
        <f>G121</f>
      </c>
      <c r="Q121" s="125"/>
      <c r="T121">
        <f>B121</f>
      </c>
      <c r="Y121" s="123"/>
      <c r="Z121" s="123"/>
      <c r="AA121" s="123"/>
      <c r="AB121" s="123"/>
      <c r="AC121" s="125"/>
      <c r="AO121">
        <f>K121</f>
      </c>
      <c r="AQ121" s="123">
        <f>AO121/(1+AP121)</f>
      </c>
      <c r="AR121">
        <f>L121</f>
      </c>
    </row>
    <row r="122">
      <c r="A122" t="str">
        <v>国内</v>
      </c>
      <c r="B122" t="str">
        <v>VA</v>
      </c>
      <c r="C122" t="str">
        <v>照明</v>
      </c>
      <c r="D122" t="str" xml:space="preserve">
        <v> </v>
      </c>
      <c r="E122" t="str" xml:space="preserve">
        <v> </v>
      </c>
      <c r="F122" t="str" xml:space="preserve">
        <v> </v>
      </c>
      <c r="G122" t="str">
        <v>UNIN2405314</v>
      </c>
      <c r="H122">
        <v>20240614</v>
      </c>
      <c r="I122" t="str">
        <v>华南</v>
      </c>
      <c r="J122" t="str">
        <v>广州</v>
      </c>
      <c r="K122" s="124">
        <v>2640</v>
      </c>
      <c r="L122" t="str">
        <v>CNY</v>
      </c>
      <c r="N122" t="str">
        <v>待确认</v>
      </c>
      <c r="P122">
        <f>G122</f>
      </c>
      <c r="Q122" s="125"/>
      <c r="T122">
        <f>B122</f>
      </c>
      <c r="Y122" s="123"/>
      <c r="Z122" s="123"/>
      <c r="AA122" s="123"/>
      <c r="AB122" s="123"/>
      <c r="AC122" s="125"/>
      <c r="AO122">
        <f>K122</f>
      </c>
      <c r="AQ122" s="123">
        <f>AO122/(1+AP122)</f>
      </c>
      <c r="AR122">
        <f>L122</f>
      </c>
    </row>
    <row r="123">
      <c r="A123" t="str">
        <v>国内</v>
      </c>
      <c r="B123" t="str">
        <v>VA</v>
      </c>
      <c r="C123" t="str">
        <v>照明</v>
      </c>
      <c r="D123" t="str" xml:space="preserve">
        <v> </v>
      </c>
      <c r="E123" t="str" xml:space="preserve">
        <v> </v>
      </c>
      <c r="F123" t="str" xml:space="preserve">
        <v> </v>
      </c>
      <c r="G123" t="str">
        <v>UNIN2211397增补</v>
      </c>
      <c r="H123">
        <v>20240613</v>
      </c>
      <c r="I123" t="str">
        <v>华南</v>
      </c>
      <c r="J123" t="str">
        <v>福建</v>
      </c>
      <c r="K123" s="124">
        <v>3720</v>
      </c>
      <c r="L123" t="str">
        <v>CNY</v>
      </c>
      <c r="N123" t="str">
        <v>待确认</v>
      </c>
      <c r="P123">
        <f>G123</f>
      </c>
      <c r="Q123" s="125"/>
      <c r="T123">
        <f>B123</f>
      </c>
      <c r="Y123" s="123"/>
      <c r="Z123" s="123"/>
      <c r="AA123" s="123"/>
      <c r="AB123" s="123"/>
      <c r="AC123" s="125"/>
      <c r="AO123">
        <f>K123</f>
      </c>
      <c r="AQ123" s="123">
        <f>AO123/(1+AP123)</f>
      </c>
      <c r="AR123">
        <f>L123</f>
      </c>
    </row>
    <row r="124">
      <c r="A124" t="str">
        <v>国内</v>
      </c>
      <c r="B124" t="str">
        <v>VA</v>
      </c>
      <c r="C124" t="str">
        <v>照明</v>
      </c>
      <c r="D124" t="str" xml:space="preserve">
        <v> </v>
      </c>
      <c r="E124" t="str" xml:space="preserve">
        <v> </v>
      </c>
      <c r="F124" t="str" xml:space="preserve">
        <v> </v>
      </c>
      <c r="G124" t="str">
        <v>UNIN2405298</v>
      </c>
      <c r="H124">
        <v>20240613</v>
      </c>
      <c r="I124" t="str">
        <v>华南</v>
      </c>
      <c r="J124" t="str">
        <v>福建</v>
      </c>
      <c r="K124" s="124">
        <v>18720</v>
      </c>
      <c r="L124" t="str">
        <v>CNY</v>
      </c>
      <c r="N124" t="str">
        <v>待确认</v>
      </c>
      <c r="P124">
        <f>G124</f>
      </c>
      <c r="Q124" s="125"/>
      <c r="T124">
        <f>B124</f>
      </c>
      <c r="Y124" s="123"/>
      <c r="Z124" s="123"/>
      <c r="AA124" s="123"/>
      <c r="AB124" s="123"/>
      <c r="AC124" s="125"/>
      <c r="AO124">
        <f>K124</f>
      </c>
      <c r="AQ124" s="123">
        <f>AO124/(1+AP124)</f>
      </c>
      <c r="AR124">
        <f>L124</f>
      </c>
    </row>
    <row r="125">
      <c r="A125" t="str">
        <v>国内</v>
      </c>
      <c r="B125" t="str">
        <v>VA</v>
      </c>
      <c r="C125" t="str">
        <v>照明</v>
      </c>
      <c r="D125" t="str" xml:space="preserve">
        <v> </v>
      </c>
      <c r="E125" t="str" xml:space="preserve">
        <v> </v>
      </c>
      <c r="F125" t="str" xml:space="preserve">
        <v> </v>
      </c>
      <c r="G125" t="str">
        <v>UNIN2405285</v>
      </c>
      <c r="H125">
        <v>20240613</v>
      </c>
      <c r="I125" t="str">
        <v>华南</v>
      </c>
      <c r="J125" t="str">
        <v>深圳</v>
      </c>
      <c r="K125" s="124">
        <v>22794</v>
      </c>
      <c r="L125" t="str">
        <v>CNY</v>
      </c>
      <c r="N125" t="str">
        <v>待确认</v>
      </c>
      <c r="P125">
        <f>G125</f>
      </c>
      <c r="Q125" s="125"/>
      <c r="T125">
        <f>B125</f>
      </c>
      <c r="Y125" s="123"/>
      <c r="Z125" s="123"/>
      <c r="AA125" s="123"/>
      <c r="AB125" s="123"/>
      <c r="AC125" s="125"/>
      <c r="AO125">
        <f>K125</f>
      </c>
      <c r="AQ125" s="123">
        <f>AO125/(1+AP125)</f>
      </c>
      <c r="AR125">
        <f>L125</f>
      </c>
    </row>
    <row r="126">
      <c r="A126" t="str">
        <v>国内</v>
      </c>
      <c r="B126" t="str">
        <v>VA</v>
      </c>
      <c r="C126" t="str">
        <v>照明</v>
      </c>
      <c r="D126" t="str" xml:space="preserve">
        <v> </v>
      </c>
      <c r="E126" t="str" xml:space="preserve">
        <v> </v>
      </c>
      <c r="F126" t="str" xml:space="preserve">
        <v> </v>
      </c>
      <c r="G126" t="str">
        <v>UNIN2405312</v>
      </c>
      <c r="H126">
        <v>20240607</v>
      </c>
      <c r="I126" t="str">
        <v>华东</v>
      </c>
      <c r="J126" t="str">
        <v>上海</v>
      </c>
      <c r="K126" s="126">
        <v>29952.92</v>
      </c>
      <c r="L126" t="str">
        <v>CNY</v>
      </c>
      <c r="N126" t="str">
        <v>待确认</v>
      </c>
      <c r="P126">
        <f>G126</f>
      </c>
      <c r="Q126" s="125"/>
      <c r="T126">
        <f>B126</f>
      </c>
      <c r="Y126" s="123"/>
      <c r="Z126" s="123"/>
      <c r="AA126" s="123"/>
      <c r="AB126" s="123"/>
      <c r="AC126" s="125"/>
      <c r="AO126">
        <f>K126</f>
      </c>
      <c r="AQ126" s="123">
        <f>AO126/(1+AP126)</f>
      </c>
      <c r="AR126">
        <f>L126</f>
      </c>
    </row>
    <row r="127">
      <c r="A127" t="str">
        <v>国内</v>
      </c>
      <c r="B127" t="str">
        <v>VA</v>
      </c>
      <c r="C127" t="str">
        <v>照明</v>
      </c>
      <c r="D127" t="str" xml:space="preserve">
        <v> </v>
      </c>
      <c r="E127" t="str" xml:space="preserve">
        <v> </v>
      </c>
      <c r="F127" t="str" xml:space="preserve">
        <v> </v>
      </c>
      <c r="G127" t="str">
        <v>UNIN2405297</v>
      </c>
      <c r="H127">
        <v>20240606</v>
      </c>
      <c r="I127" t="str">
        <v>华南</v>
      </c>
      <c r="J127" t="str">
        <v>广州</v>
      </c>
      <c r="K127" s="124">
        <v>710494</v>
      </c>
      <c r="L127" t="str">
        <v>CNY</v>
      </c>
      <c r="N127" t="str">
        <v>待确认</v>
      </c>
      <c r="P127">
        <f>G127</f>
      </c>
      <c r="Q127" s="125"/>
      <c r="T127">
        <f>B127</f>
      </c>
      <c r="Y127" s="123"/>
      <c r="Z127" s="123"/>
      <c r="AA127" s="123"/>
      <c r="AB127" s="123"/>
      <c r="AC127" s="125"/>
      <c r="AO127">
        <f>K127</f>
      </c>
      <c r="AQ127" s="123">
        <f>AO127/(1+AP127)</f>
      </c>
      <c r="AR127">
        <f>L127</f>
      </c>
    </row>
    <row r="128">
      <c r="A128" t="str">
        <v>国内</v>
      </c>
      <c r="B128" t="str">
        <v>VA</v>
      </c>
      <c r="C128" t="str">
        <v>照明</v>
      </c>
      <c r="D128" t="str" xml:space="preserve">
        <v> </v>
      </c>
      <c r="E128" t="str" xml:space="preserve">
        <v> </v>
      </c>
      <c r="F128" t="str" xml:space="preserve">
        <v> </v>
      </c>
      <c r="G128" t="str">
        <v>UNIN2405302</v>
      </c>
      <c r="H128">
        <v>20240606</v>
      </c>
      <c r="I128" t="str">
        <v>华东</v>
      </c>
      <c r="J128" t="str">
        <v>上海</v>
      </c>
      <c r="K128" s="124">
        <v>1088441</v>
      </c>
      <c r="L128" t="str">
        <v>CNY</v>
      </c>
      <c r="N128" t="str">
        <v>待确认</v>
      </c>
      <c r="P128">
        <f>G128</f>
      </c>
      <c r="Q128" s="125"/>
      <c r="T128">
        <f>B128</f>
      </c>
      <c r="Y128" s="123"/>
      <c r="Z128" s="123"/>
      <c r="AA128" s="123"/>
      <c r="AB128" s="123"/>
      <c r="AC128" s="125"/>
      <c r="AO128">
        <f>K128</f>
      </c>
      <c r="AQ128" s="123">
        <f>AO128/(1+AP128)</f>
      </c>
      <c r="AR128">
        <f>L128</f>
      </c>
    </row>
    <row r="129">
      <c r="A129" t="str">
        <v>国内</v>
      </c>
      <c r="B129" t="str">
        <v>VA</v>
      </c>
      <c r="C129" t="str">
        <v>照明</v>
      </c>
      <c r="D129" t="str" xml:space="preserve">
        <v> </v>
      </c>
      <c r="E129" t="str" xml:space="preserve">
        <v> </v>
      </c>
      <c r="F129" t="str" xml:space="preserve">
        <v> </v>
      </c>
      <c r="G129" t="str">
        <v>UNIN2405284</v>
      </c>
      <c r="H129">
        <v>20240606</v>
      </c>
      <c r="I129" t="str">
        <v>华南</v>
      </c>
      <c r="J129" t="str">
        <v>广州</v>
      </c>
      <c r="K129" s="124">
        <v>38760</v>
      </c>
      <c r="L129" t="str">
        <v>CNY</v>
      </c>
      <c r="N129" t="str">
        <v>待确认</v>
      </c>
      <c r="P129">
        <f>G129</f>
      </c>
      <c r="Q129" s="125"/>
      <c r="T129">
        <f>B129</f>
      </c>
      <c r="Y129" s="123"/>
      <c r="Z129" s="123"/>
      <c r="AA129" s="123"/>
      <c r="AB129" s="123"/>
      <c r="AC129" s="125"/>
      <c r="AO129">
        <f>K129</f>
      </c>
      <c r="AQ129" s="123">
        <f>AO129/(1+AP129)</f>
      </c>
      <c r="AR129">
        <f>L129</f>
      </c>
    </row>
    <row r="130">
      <c r="A130" t="str">
        <v>国内</v>
      </c>
      <c r="B130" t="str">
        <v>VA</v>
      </c>
      <c r="C130" t="str">
        <v>照明</v>
      </c>
      <c r="D130" t="str" xml:space="preserve">
        <v> </v>
      </c>
      <c r="E130" t="str" xml:space="preserve">
        <v> </v>
      </c>
      <c r="F130" t="str" xml:space="preserve">
        <v> </v>
      </c>
      <c r="G130" t="str">
        <v>UNIN2405292</v>
      </c>
      <c r="H130">
        <v>20240605</v>
      </c>
      <c r="I130" t="str">
        <v>华东</v>
      </c>
      <c r="J130" t="str">
        <v>浙江</v>
      </c>
      <c r="K130" s="124">
        <v>82860</v>
      </c>
      <c r="L130" t="str">
        <v>CNY</v>
      </c>
      <c r="N130" t="str">
        <v>待确认</v>
      </c>
      <c r="P130">
        <f>G130</f>
      </c>
      <c r="Q130" s="125"/>
      <c r="T130">
        <f>B130</f>
      </c>
      <c r="Y130" s="123"/>
      <c r="Z130" s="123"/>
      <c r="AA130" s="123"/>
      <c r="AB130" s="123"/>
      <c r="AC130" s="125"/>
      <c r="AO130">
        <f>K130</f>
      </c>
      <c r="AQ130" s="123">
        <f>AO130/(1+AP130)</f>
      </c>
      <c r="AR130">
        <f>L130</f>
      </c>
    </row>
    <row r="131">
      <c r="A131" t="str">
        <v>国内</v>
      </c>
      <c r="B131" t="str">
        <v>VA</v>
      </c>
      <c r="C131" t="str">
        <v>照明</v>
      </c>
      <c r="D131" t="str" xml:space="preserve">
        <v> </v>
      </c>
      <c r="E131" t="str" xml:space="preserve">
        <v> </v>
      </c>
      <c r="F131" t="str" xml:space="preserve">
        <v> </v>
      </c>
      <c r="G131" t="str">
        <v>UNIN2405305</v>
      </c>
      <c r="H131">
        <v>20240605</v>
      </c>
      <c r="I131" t="str">
        <v>西南</v>
      </c>
      <c r="J131" t="str">
        <v>四川</v>
      </c>
      <c r="K131" s="124">
        <v>186840</v>
      </c>
      <c r="L131" t="str">
        <v>CNY</v>
      </c>
      <c r="N131" t="str">
        <v>待确认</v>
      </c>
      <c r="P131">
        <f>G131</f>
      </c>
      <c r="Q131" s="125"/>
      <c r="T131">
        <f>B131</f>
      </c>
      <c r="Y131" s="123"/>
      <c r="Z131" s="123"/>
      <c r="AA131" s="123"/>
      <c r="AB131" s="123"/>
      <c r="AC131" s="125"/>
      <c r="AO131">
        <f>K131</f>
      </c>
      <c r="AQ131" s="123">
        <f>AO131/(1+AP131)</f>
      </c>
      <c r="AR131">
        <f>L131</f>
      </c>
    </row>
    <row r="132">
      <c r="A132" t="str">
        <v>国内</v>
      </c>
      <c r="B132" t="str">
        <v>VA</v>
      </c>
      <c r="C132" t="str">
        <v>照明</v>
      </c>
      <c r="D132" t="str" xml:space="preserve">
        <v> </v>
      </c>
      <c r="E132" t="str" xml:space="preserve">
        <v> </v>
      </c>
      <c r="F132" t="str" xml:space="preserve">
        <v> </v>
      </c>
      <c r="G132" t="str">
        <v>UNIN2401019增补1</v>
      </c>
      <c r="H132">
        <v>20240605</v>
      </c>
      <c r="I132" t="str">
        <v>华南</v>
      </c>
      <c r="J132" t="str">
        <v>福建</v>
      </c>
      <c r="K132" s="124">
        <v>2554</v>
      </c>
      <c r="L132" t="str">
        <v>CNY</v>
      </c>
      <c r="N132" t="str">
        <v>待确认</v>
      </c>
      <c r="P132">
        <f>G132</f>
      </c>
      <c r="Q132" s="125"/>
      <c r="T132">
        <f>B132</f>
      </c>
      <c r="Y132" s="123"/>
      <c r="Z132" s="123"/>
      <c r="AA132" s="123"/>
      <c r="AB132" s="123"/>
      <c r="AC132" s="125"/>
      <c r="AO132">
        <f>K132</f>
      </c>
      <c r="AQ132" s="123">
        <f>AO132/(1+AP132)</f>
      </c>
      <c r="AR132">
        <f>L132</f>
      </c>
    </row>
    <row r="133">
      <c r="A133" t="str">
        <v>国内</v>
      </c>
      <c r="B133" t="str">
        <v>VA</v>
      </c>
      <c r="C133" t="str">
        <v>照明</v>
      </c>
      <c r="D133" t="str" xml:space="preserve">
        <v> </v>
      </c>
      <c r="E133" t="str" xml:space="preserve">
        <v> </v>
      </c>
      <c r="F133" t="str" xml:space="preserve">
        <v> </v>
      </c>
      <c r="G133" t="str">
        <v>UNIN2405313</v>
      </c>
      <c r="H133">
        <v>20240604</v>
      </c>
      <c r="I133" t="str">
        <v>华南</v>
      </c>
      <c r="J133" t="str">
        <v>广州</v>
      </c>
      <c r="K133" s="124">
        <v>2700</v>
      </c>
      <c r="L133" t="str">
        <v>CNY</v>
      </c>
      <c r="N133" t="str">
        <v>待确认</v>
      </c>
      <c r="P133">
        <f>G133</f>
      </c>
      <c r="Q133" s="125"/>
      <c r="T133">
        <f>B133</f>
      </c>
      <c r="Y133" s="123"/>
      <c r="Z133" s="123"/>
      <c r="AA133" s="123"/>
      <c r="AB133" s="123"/>
      <c r="AC133" s="125"/>
      <c r="AO133">
        <f>K133</f>
      </c>
      <c r="AQ133" s="123">
        <f>AO133/(1+AP133)</f>
      </c>
      <c r="AR133">
        <f>L133</f>
      </c>
    </row>
    <row r="134">
      <c r="A134" t="str">
        <v>国内</v>
      </c>
      <c r="B134" t="str">
        <v>VA</v>
      </c>
      <c r="C134" t="str">
        <v>照明</v>
      </c>
      <c r="D134" t="str" xml:space="preserve">
        <v> </v>
      </c>
      <c r="E134" t="str" xml:space="preserve">
        <v> </v>
      </c>
      <c r="F134" t="str" xml:space="preserve">
        <v> </v>
      </c>
      <c r="G134" t="str">
        <v>UNIN2403215增补3</v>
      </c>
      <c r="H134">
        <v>20240604</v>
      </c>
      <c r="I134" t="str">
        <v>华东</v>
      </c>
      <c r="J134" t="str">
        <v>浙江</v>
      </c>
      <c r="K134" s="124">
        <v>358358</v>
      </c>
      <c r="L134" t="str">
        <v>CNY</v>
      </c>
      <c r="N134" t="str">
        <v>待确认</v>
      </c>
      <c r="P134">
        <f>G134</f>
      </c>
      <c r="Q134" s="125"/>
      <c r="T134">
        <f>B134</f>
      </c>
      <c r="Y134" s="123"/>
      <c r="Z134" s="123"/>
      <c r="AA134" s="123"/>
      <c r="AB134" s="123"/>
      <c r="AC134" s="125"/>
      <c r="AO134">
        <f>K134</f>
      </c>
      <c r="AQ134" s="123">
        <f>AO134/(1+AP134)</f>
      </c>
      <c r="AR134">
        <f>L134</f>
      </c>
    </row>
    <row r="135">
      <c r="A135" t="str">
        <v>国内</v>
      </c>
      <c r="B135" t="str">
        <v>VA</v>
      </c>
      <c r="C135" t="str">
        <v>照明</v>
      </c>
      <c r="D135" t="str" xml:space="preserve">
        <v> </v>
      </c>
      <c r="E135" t="str" xml:space="preserve">
        <v> </v>
      </c>
      <c r="F135" t="str" xml:space="preserve">
        <v> </v>
      </c>
      <c r="G135" t="str">
        <v>UNIN2405303</v>
      </c>
      <c r="H135">
        <v>20240603</v>
      </c>
      <c r="I135" t="str">
        <v>东中</v>
      </c>
      <c r="J135" t="str">
        <v>河南</v>
      </c>
      <c r="K135" s="124">
        <v>73522</v>
      </c>
      <c r="L135" t="str">
        <v>CNY</v>
      </c>
      <c r="N135" t="str">
        <v>待确认</v>
      </c>
      <c r="P135">
        <f>G135</f>
      </c>
      <c r="Q135" s="125"/>
      <c r="T135">
        <f>B135</f>
      </c>
      <c r="Y135" s="123"/>
      <c r="Z135" s="123"/>
      <c r="AA135" s="123"/>
      <c r="AB135" s="123"/>
      <c r="AC135" s="125"/>
      <c r="AO135">
        <f>K135</f>
      </c>
      <c r="AQ135" s="123">
        <f>AO135/(1+AP135)</f>
      </c>
      <c r="AR135">
        <f>L135</f>
      </c>
    </row>
    <row r="136">
      <c r="A136" t="str">
        <v>国内</v>
      </c>
      <c r="B136" t="str">
        <v>VA</v>
      </c>
      <c r="C136" t="str">
        <v>照明</v>
      </c>
      <c r="D136" t="str" xml:space="preserve">
        <v> </v>
      </c>
      <c r="E136" t="str" xml:space="preserve">
        <v> </v>
      </c>
      <c r="F136" t="str" xml:space="preserve">
        <v> </v>
      </c>
      <c r="G136" t="str">
        <v>UNIN2405311</v>
      </c>
      <c r="H136">
        <v>20240531</v>
      </c>
      <c r="I136" t="str">
        <v>华东</v>
      </c>
      <c r="J136" t="str">
        <v>浙江</v>
      </c>
      <c r="K136" s="126">
        <v>2507955.88</v>
      </c>
      <c r="L136" t="str">
        <v>CNY</v>
      </c>
      <c r="N136" t="str">
        <v>待确认</v>
      </c>
      <c r="P136">
        <f>G136</f>
      </c>
      <c r="Q136" s="125"/>
      <c r="T136">
        <f>B136</f>
      </c>
      <c r="Y136" s="123"/>
      <c r="Z136" s="123"/>
      <c r="AA136" s="123"/>
      <c r="AB136" s="123"/>
      <c r="AC136" s="125"/>
      <c r="AO136">
        <f>K136</f>
      </c>
      <c r="AQ136" s="123">
        <f>AO136/(1+AP136)</f>
      </c>
      <c r="AR136">
        <f>L136</f>
      </c>
    </row>
    <row r="137">
      <c r="A137" t="str">
        <v>国内</v>
      </c>
      <c r="B137" t="str">
        <v>VA</v>
      </c>
      <c r="C137" t="str">
        <v>照明</v>
      </c>
      <c r="D137" t="str" xml:space="preserve">
        <v> </v>
      </c>
      <c r="E137" t="str" xml:space="preserve">
        <v> </v>
      </c>
      <c r="F137" t="str" xml:space="preserve">
        <v> </v>
      </c>
      <c r="G137" t="str">
        <v>UNIN2111140增补</v>
      </c>
      <c r="H137">
        <v>20240531</v>
      </c>
      <c r="I137" t="str">
        <v>华南</v>
      </c>
      <c r="J137" t="str">
        <v>广西</v>
      </c>
      <c r="K137" s="124">
        <v>3420716</v>
      </c>
      <c r="L137" t="str">
        <v>CNY</v>
      </c>
      <c r="N137" t="str">
        <v>待确认</v>
      </c>
      <c r="P137">
        <f>G137</f>
      </c>
      <c r="Q137" s="125"/>
      <c r="T137">
        <f>B137</f>
      </c>
      <c r="Y137" s="123"/>
      <c r="Z137" s="123"/>
      <c r="AA137" s="123"/>
      <c r="AB137" s="123"/>
      <c r="AC137" s="125"/>
      <c r="AO137">
        <f>K137</f>
      </c>
      <c r="AQ137" s="123">
        <f>AO137/(1+AP137)</f>
      </c>
      <c r="AR137">
        <f>L137</f>
      </c>
    </row>
    <row r="138">
      <c r="A138" t="str">
        <v>国内</v>
      </c>
      <c r="B138" t="str">
        <v>VA</v>
      </c>
      <c r="C138" t="str">
        <v>照明</v>
      </c>
      <c r="D138" t="str" xml:space="preserve">
        <v> </v>
      </c>
      <c r="E138" t="str" xml:space="preserve">
        <v> </v>
      </c>
      <c r="F138" t="str" xml:space="preserve">
        <v> </v>
      </c>
      <c r="G138" t="str">
        <v>UNIN2405309</v>
      </c>
      <c r="H138">
        <v>20240531</v>
      </c>
      <c r="I138" t="str">
        <v>华东</v>
      </c>
      <c r="J138" t="str">
        <v>浙江</v>
      </c>
      <c r="K138" s="124">
        <v>24500</v>
      </c>
      <c r="L138" t="str">
        <v>CNY</v>
      </c>
      <c r="N138" t="str">
        <v>待确认</v>
      </c>
      <c r="P138">
        <f>G138</f>
      </c>
      <c r="Q138" s="125"/>
      <c r="T138">
        <f>B138</f>
      </c>
      <c r="Y138" s="123"/>
      <c r="Z138" s="123"/>
      <c r="AA138" s="123"/>
      <c r="AB138" s="123"/>
      <c r="AC138" s="125"/>
      <c r="AO138">
        <f>K138</f>
      </c>
      <c r="AQ138" s="123">
        <f>AO138/(1+AP138)</f>
      </c>
      <c r="AR138">
        <f>L138</f>
      </c>
    </row>
    <row r="139">
      <c r="A139" t="str">
        <v>国内</v>
      </c>
      <c r="B139" t="str">
        <v>VA</v>
      </c>
      <c r="C139" t="str">
        <v>照明</v>
      </c>
      <c r="D139" t="str" xml:space="preserve">
        <v> </v>
      </c>
      <c r="E139" t="str" xml:space="preserve">
        <v> </v>
      </c>
      <c r="F139" t="str" xml:space="preserve">
        <v> </v>
      </c>
      <c r="G139" t="str">
        <v>UNIN2405301</v>
      </c>
      <c r="H139">
        <v>20240530</v>
      </c>
      <c r="I139" t="str">
        <v>华南</v>
      </c>
      <c r="J139" t="str">
        <v>深圳</v>
      </c>
      <c r="K139" s="124">
        <v>10100</v>
      </c>
      <c r="L139" t="str">
        <v>CNY</v>
      </c>
      <c r="N139" t="str">
        <v>待确认</v>
      </c>
      <c r="P139">
        <f>G139</f>
      </c>
      <c r="Q139" s="125"/>
      <c r="T139">
        <f>B139</f>
      </c>
      <c r="Y139" s="123"/>
      <c r="Z139" s="123"/>
      <c r="AA139" s="123"/>
      <c r="AB139" s="123"/>
      <c r="AC139" s="125"/>
      <c r="AO139">
        <f>K139</f>
      </c>
      <c r="AQ139" s="123">
        <f>AO139/(1+AP139)</f>
      </c>
      <c r="AR139">
        <f>L139</f>
      </c>
    </row>
    <row r="140">
      <c r="A140" t="str">
        <v>国内</v>
      </c>
      <c r="B140" t="str">
        <v>VA</v>
      </c>
      <c r="C140" t="str">
        <v>照明</v>
      </c>
      <c r="D140" t="str" xml:space="preserve">
        <v> </v>
      </c>
      <c r="E140" t="str" xml:space="preserve">
        <v> </v>
      </c>
      <c r="F140" t="str" xml:space="preserve">
        <v> </v>
      </c>
      <c r="G140" t="str">
        <v>BUFB2404246</v>
      </c>
      <c r="H140">
        <v>20240530</v>
      </c>
      <c r="I140" t="str">
        <v>华南</v>
      </c>
      <c r="J140" t="str">
        <v>深圳</v>
      </c>
      <c r="K140" s="124">
        <v>509880</v>
      </c>
      <c r="L140" t="str">
        <v>CNY</v>
      </c>
      <c r="N140" t="str">
        <v>待确认</v>
      </c>
      <c r="P140">
        <f>G140</f>
      </c>
      <c r="Q140" s="125"/>
      <c r="T140">
        <f>B140</f>
      </c>
      <c r="Y140" s="123"/>
      <c r="Z140" s="123"/>
      <c r="AA140" s="123"/>
      <c r="AB140" s="123"/>
      <c r="AC140" s="125"/>
      <c r="AO140">
        <f>K140</f>
      </c>
      <c r="AQ140" s="123">
        <f>AO140/(1+AP140)</f>
      </c>
      <c r="AR140">
        <f>L140</f>
      </c>
    </row>
    <row r="141">
      <c r="A141" t="str">
        <v>国内</v>
      </c>
      <c r="B141" t="str">
        <v>VA</v>
      </c>
      <c r="C141" t="str">
        <v>照明</v>
      </c>
      <c r="D141" t="str" xml:space="preserve">
        <v> </v>
      </c>
      <c r="E141" t="str" xml:space="preserve">
        <v> </v>
      </c>
      <c r="F141" t="str" xml:space="preserve">
        <v> </v>
      </c>
      <c r="G141" t="str">
        <v>UNIN2405280</v>
      </c>
      <c r="H141">
        <v>20240530</v>
      </c>
      <c r="I141" t="str">
        <v>华东</v>
      </c>
      <c r="J141" t="str">
        <v>江苏</v>
      </c>
      <c r="K141" s="124">
        <v>282650</v>
      </c>
      <c r="L141" t="str">
        <v>CNY</v>
      </c>
      <c r="N141" t="str">
        <v>待确认</v>
      </c>
      <c r="P141">
        <f>G141</f>
      </c>
      <c r="Q141" s="125"/>
      <c r="T141">
        <f>B141</f>
      </c>
      <c r="Y141" s="123"/>
      <c r="Z141" s="123"/>
      <c r="AA141" s="123"/>
      <c r="AB141" s="123"/>
      <c r="AC141" s="125"/>
      <c r="AO141">
        <f>K141</f>
      </c>
      <c r="AQ141" s="123">
        <f>AO141/(1+AP141)</f>
      </c>
      <c r="AR141">
        <f>L141</f>
      </c>
    </row>
    <row r="142">
      <c r="A142" t="str">
        <v>国内</v>
      </c>
      <c r="B142" t="str">
        <v>VA</v>
      </c>
      <c r="C142" t="str">
        <v>照明</v>
      </c>
      <c r="D142" t="str" xml:space="preserve">
        <v> </v>
      </c>
      <c r="E142" t="str" xml:space="preserve">
        <v> </v>
      </c>
      <c r="F142" t="str" xml:space="preserve">
        <v> </v>
      </c>
      <c r="G142" t="str">
        <v>UNIN2405306</v>
      </c>
      <c r="H142">
        <v>20240529</v>
      </c>
      <c r="I142" t="str">
        <v>华东</v>
      </c>
      <c r="J142" t="str">
        <v>江苏</v>
      </c>
      <c r="K142" s="124">
        <v>111678</v>
      </c>
      <c r="L142" t="str">
        <v>CNY</v>
      </c>
      <c r="N142" t="str">
        <v>待确认</v>
      </c>
      <c r="P142">
        <f>G142</f>
      </c>
      <c r="Q142" s="125"/>
      <c r="T142">
        <f>B142</f>
      </c>
      <c r="Y142" s="123"/>
      <c r="Z142" s="123"/>
      <c r="AA142" s="123"/>
      <c r="AB142" s="123"/>
      <c r="AC142" s="125"/>
      <c r="AO142">
        <f>K142</f>
      </c>
      <c r="AQ142" s="123">
        <f>AO142/(1+AP142)</f>
      </c>
      <c r="AR142">
        <f>L142</f>
      </c>
    </row>
    <row r="143">
      <c r="A143" t="str">
        <v>国内</v>
      </c>
      <c r="B143" t="str">
        <v>VA</v>
      </c>
      <c r="C143" t="str">
        <v>照明</v>
      </c>
      <c r="D143" t="str" xml:space="preserve">
        <v> </v>
      </c>
      <c r="E143" t="str" xml:space="preserve">
        <v> </v>
      </c>
      <c r="F143" t="str" xml:space="preserve">
        <v> </v>
      </c>
      <c r="G143" t="str">
        <v>UNIN2404254</v>
      </c>
      <c r="H143">
        <v>20240528</v>
      </c>
      <c r="I143" t="str">
        <v>华南</v>
      </c>
      <c r="J143" t="str">
        <v>广州</v>
      </c>
      <c r="K143" s="124">
        <v>1877900</v>
      </c>
      <c r="L143" t="str">
        <v>CNY</v>
      </c>
      <c r="N143" t="str">
        <v>待确认</v>
      </c>
      <c r="P143">
        <f>G143</f>
      </c>
      <c r="Q143" s="125"/>
      <c r="T143">
        <f>B143</f>
      </c>
      <c r="Y143" s="123"/>
      <c r="Z143" s="123"/>
      <c r="AA143" s="123"/>
      <c r="AB143" s="123"/>
      <c r="AC143" s="125"/>
      <c r="AO143">
        <f>K143</f>
      </c>
      <c r="AQ143" s="123">
        <f>AO143/(1+AP143)</f>
      </c>
      <c r="AR143">
        <f>L143</f>
      </c>
    </row>
    <row r="144">
      <c r="A144" t="str">
        <v>国内</v>
      </c>
      <c r="B144" t="str">
        <v>VA</v>
      </c>
      <c r="C144" t="str">
        <v>照明</v>
      </c>
      <c r="D144" t="str" xml:space="preserve">
        <v> </v>
      </c>
      <c r="E144" t="str" xml:space="preserve">
        <v> </v>
      </c>
      <c r="F144" t="str" xml:space="preserve">
        <v> </v>
      </c>
      <c r="G144" t="str">
        <v>UNIN2405278</v>
      </c>
      <c r="H144">
        <v>20240527</v>
      </c>
      <c r="I144" t="str">
        <v>西北</v>
      </c>
      <c r="J144" t="str">
        <v>新疆</v>
      </c>
      <c r="K144" s="124">
        <v>21000</v>
      </c>
      <c r="L144" t="str">
        <v>CNY</v>
      </c>
      <c r="N144" t="str">
        <v>待确认</v>
      </c>
      <c r="P144">
        <f>G144</f>
      </c>
      <c r="Q144" s="125"/>
      <c r="T144">
        <f>B144</f>
      </c>
      <c r="Y144" s="123"/>
      <c r="Z144" s="123"/>
      <c r="AA144" s="123"/>
      <c r="AB144" s="123"/>
      <c r="AC144" s="125"/>
      <c r="AO144">
        <f>K144</f>
      </c>
      <c r="AQ144" s="123">
        <f>AO144/(1+AP144)</f>
      </c>
      <c r="AR144">
        <f>L144</f>
      </c>
    </row>
    <row r="145">
      <c r="A145" t="str">
        <v>国内</v>
      </c>
      <c r="B145" t="str">
        <v>VA</v>
      </c>
      <c r="C145" t="str">
        <v>照明</v>
      </c>
      <c r="D145" t="str" xml:space="preserve">
        <v> </v>
      </c>
      <c r="E145" t="str" xml:space="preserve">
        <v> </v>
      </c>
      <c r="F145" t="str" xml:space="preserve">
        <v> </v>
      </c>
      <c r="G145" t="str">
        <v>UNIN2405293</v>
      </c>
      <c r="H145">
        <v>20240527</v>
      </c>
      <c r="I145" t="str">
        <v>华南</v>
      </c>
      <c r="J145" t="str">
        <v>深圳</v>
      </c>
      <c r="K145" s="124">
        <v>200105</v>
      </c>
      <c r="L145" t="str">
        <v>CNY</v>
      </c>
      <c r="N145" t="str">
        <v>待确认</v>
      </c>
      <c r="P145">
        <f>G145</f>
      </c>
      <c r="Q145" s="125"/>
      <c r="T145">
        <f>B145</f>
      </c>
      <c r="Y145" s="123"/>
      <c r="Z145" s="123"/>
      <c r="AA145" s="123"/>
      <c r="AB145" s="123"/>
      <c r="AC145" s="125"/>
      <c r="AO145">
        <f>K145</f>
      </c>
      <c r="AQ145" s="123">
        <f>AO145/(1+AP145)</f>
      </c>
      <c r="AR145">
        <f>L145</f>
      </c>
    </row>
    <row r="146">
      <c r="A146" t="str">
        <v>国内</v>
      </c>
      <c r="B146" t="str">
        <v>VA</v>
      </c>
      <c r="C146" t="str">
        <v>照明</v>
      </c>
      <c r="D146" t="str" xml:space="preserve">
        <v> </v>
      </c>
      <c r="E146" t="str" xml:space="preserve">
        <v> </v>
      </c>
      <c r="F146" t="str" xml:space="preserve">
        <v> </v>
      </c>
      <c r="G146" t="str">
        <v>UNIN2308224增补1</v>
      </c>
      <c r="H146">
        <v>20240524</v>
      </c>
      <c r="I146" t="str">
        <v>西南</v>
      </c>
      <c r="J146" t="str">
        <v>四川</v>
      </c>
      <c r="K146" s="124">
        <v>115503</v>
      </c>
      <c r="L146" t="str">
        <v>CNY</v>
      </c>
      <c r="N146" t="str">
        <v>待确认</v>
      </c>
      <c r="P146">
        <f>G146</f>
      </c>
      <c r="Q146" s="125"/>
      <c r="T146">
        <f>B146</f>
      </c>
      <c r="Y146" s="123"/>
      <c r="Z146" s="123"/>
      <c r="AA146" s="123"/>
      <c r="AB146" s="123"/>
      <c r="AC146" s="125"/>
      <c r="AO146">
        <f>K146</f>
      </c>
      <c r="AQ146" s="123">
        <f>AO146/(1+AP146)</f>
      </c>
      <c r="AR146">
        <f>L146</f>
      </c>
    </row>
    <row r="147">
      <c r="A147" t="str">
        <v>国内</v>
      </c>
      <c r="B147" t="str">
        <v>VA</v>
      </c>
      <c r="C147" t="str">
        <v>照明</v>
      </c>
      <c r="D147" t="str" xml:space="preserve">
        <v> </v>
      </c>
      <c r="E147" t="str" xml:space="preserve">
        <v> </v>
      </c>
      <c r="F147" t="str" xml:space="preserve">
        <v> </v>
      </c>
      <c r="G147" t="str">
        <v>UNIN2405286</v>
      </c>
      <c r="H147">
        <v>20240524</v>
      </c>
      <c r="I147" t="str">
        <v>华东</v>
      </c>
      <c r="J147" t="str">
        <v>江苏</v>
      </c>
      <c r="K147" s="124">
        <v>3900</v>
      </c>
      <c r="L147" t="str">
        <v>CNY</v>
      </c>
      <c r="N147" t="str">
        <v>待确认</v>
      </c>
      <c r="P147">
        <f>G147</f>
      </c>
      <c r="Q147" s="125"/>
      <c r="T147">
        <f>B147</f>
      </c>
      <c r="Y147" s="123"/>
      <c r="Z147" s="123"/>
      <c r="AA147" s="123"/>
      <c r="AB147" s="123"/>
      <c r="AC147" s="125"/>
      <c r="AO147">
        <f>K147</f>
      </c>
      <c r="AQ147" s="123">
        <f>AO147/(1+AP147)</f>
      </c>
      <c r="AR147">
        <f>L147</f>
      </c>
    </row>
    <row r="148">
      <c r="A148" t="str">
        <v>国内</v>
      </c>
      <c r="B148" t="str">
        <v>VA</v>
      </c>
      <c r="C148" t="str">
        <v>照明</v>
      </c>
      <c r="D148" t="str" xml:space="preserve">
        <v> </v>
      </c>
      <c r="E148" t="str" xml:space="preserve">
        <v> </v>
      </c>
      <c r="F148" t="str" xml:space="preserve">
        <v> </v>
      </c>
      <c r="G148" t="str">
        <v>UNIN2405277</v>
      </c>
      <c r="H148">
        <v>20240520</v>
      </c>
      <c r="I148" t="str">
        <v>华南</v>
      </c>
      <c r="J148" t="str">
        <v>深圳</v>
      </c>
      <c r="K148" s="124">
        <v>46100</v>
      </c>
      <c r="L148" t="str">
        <v>CNY</v>
      </c>
      <c r="N148" t="str">
        <v>待确认</v>
      </c>
      <c r="P148">
        <f>G148</f>
      </c>
      <c r="Q148" s="125"/>
      <c r="T148">
        <f>B148</f>
      </c>
      <c r="Y148" s="123"/>
      <c r="Z148" s="123"/>
      <c r="AA148" s="123"/>
      <c r="AB148" s="123"/>
      <c r="AC148" s="125"/>
      <c r="AO148">
        <f>K148</f>
      </c>
      <c r="AQ148" s="123">
        <f>AO148/(1+AP148)</f>
      </c>
      <c r="AR148">
        <f>L148</f>
      </c>
    </row>
    <row r="149">
      <c r="A149" t="str">
        <v>国内</v>
      </c>
      <c r="B149" t="str">
        <v>VA</v>
      </c>
      <c r="C149" t="str">
        <v>照明</v>
      </c>
      <c r="D149" t="str" xml:space="preserve">
        <v> </v>
      </c>
      <c r="E149" t="str" xml:space="preserve">
        <v> </v>
      </c>
      <c r="F149" t="str" xml:space="preserve">
        <v> </v>
      </c>
      <c r="G149" t="str">
        <v>UNIN2405273</v>
      </c>
      <c r="H149">
        <v>20240520</v>
      </c>
      <c r="I149" t="str">
        <v>华南</v>
      </c>
      <c r="J149" t="str">
        <v>深圳</v>
      </c>
      <c r="K149" s="124">
        <v>1875511</v>
      </c>
      <c r="L149" t="str">
        <v>CNY</v>
      </c>
      <c r="N149" t="str">
        <v>待确认</v>
      </c>
      <c r="P149">
        <f>G149</f>
      </c>
      <c r="Q149" s="125"/>
      <c r="T149">
        <f>B149</f>
      </c>
      <c r="Y149" s="123"/>
      <c r="Z149" s="123"/>
      <c r="AA149" s="123"/>
      <c r="AB149" s="123"/>
      <c r="AC149" s="125"/>
      <c r="AO149">
        <f>K149</f>
      </c>
      <c r="AQ149" s="123">
        <f>AO149/(1+AP149)</f>
      </c>
      <c r="AR149">
        <f>L149</f>
      </c>
    </row>
    <row r="150">
      <c r="A150" t="str">
        <v>国内</v>
      </c>
      <c r="B150" t="str">
        <v>VA</v>
      </c>
      <c r="C150" t="str">
        <v>照明</v>
      </c>
      <c r="D150" t="str" xml:space="preserve">
        <v> </v>
      </c>
      <c r="E150" t="str" xml:space="preserve">
        <v> </v>
      </c>
      <c r="F150" t="str" xml:space="preserve">
        <v> </v>
      </c>
      <c r="G150" t="str">
        <v>UNIN2103071增补1</v>
      </c>
      <c r="H150">
        <v>20240520</v>
      </c>
      <c r="I150" t="str">
        <v>西北</v>
      </c>
      <c r="J150" t="str">
        <v>甘肃</v>
      </c>
      <c r="K150" s="124">
        <v>2584</v>
      </c>
      <c r="L150" t="str">
        <v>CNY</v>
      </c>
      <c r="N150" t="str">
        <v>待确认</v>
      </c>
      <c r="P150">
        <f>G150</f>
      </c>
      <c r="Q150" s="125"/>
      <c r="T150">
        <f>B150</f>
      </c>
      <c r="Y150" s="123"/>
      <c r="Z150" s="123"/>
      <c r="AA150" s="123"/>
      <c r="AB150" s="123"/>
      <c r="AC150" s="125"/>
      <c r="AO150">
        <f>K150</f>
      </c>
      <c r="AQ150" s="123">
        <f>AO150/(1+AP150)</f>
      </c>
      <c r="AR150">
        <f>L150</f>
      </c>
    </row>
    <row r="151">
      <c r="A151" t="str">
        <v>国内</v>
      </c>
      <c r="B151" t="str">
        <v>VA</v>
      </c>
      <c r="C151" t="str">
        <v>照明</v>
      </c>
      <c r="D151" t="str" xml:space="preserve">
        <v> </v>
      </c>
      <c r="E151" t="str" xml:space="preserve">
        <v> </v>
      </c>
      <c r="F151" t="str" xml:space="preserve">
        <v> </v>
      </c>
      <c r="G151" t="str">
        <v>UNIN2405281</v>
      </c>
      <c r="H151">
        <v>20240518</v>
      </c>
      <c r="I151" t="str">
        <v>华南</v>
      </c>
      <c r="J151" t="str">
        <v>广西</v>
      </c>
      <c r="K151" s="124">
        <v>14085</v>
      </c>
      <c r="L151" t="str">
        <v>CNY</v>
      </c>
      <c r="N151" t="str">
        <v>待确认</v>
      </c>
      <c r="P151">
        <f>G151</f>
      </c>
      <c r="Q151" s="125"/>
      <c r="T151">
        <f>B151</f>
      </c>
      <c r="Y151" s="123"/>
      <c r="Z151" s="123"/>
      <c r="AA151" s="123"/>
      <c r="AB151" s="123"/>
      <c r="AC151" s="125"/>
      <c r="AO151">
        <f>K151</f>
      </c>
      <c r="AQ151" s="123">
        <f>AO151/(1+AP151)</f>
      </c>
      <c r="AR151">
        <f>L151</f>
      </c>
    </row>
    <row r="152">
      <c r="A152" t="str">
        <v>国内</v>
      </c>
      <c r="B152" t="str">
        <v>VA</v>
      </c>
      <c r="C152" t="str">
        <v>照明</v>
      </c>
      <c r="D152" t="str" xml:space="preserve">
        <v> </v>
      </c>
      <c r="E152" t="str" xml:space="preserve">
        <v> </v>
      </c>
      <c r="F152" t="str" xml:space="preserve">
        <v> </v>
      </c>
      <c r="G152" t="str">
        <v>UNIN2405270</v>
      </c>
      <c r="H152">
        <v>20240517</v>
      </c>
      <c r="I152" t="str">
        <v>东中</v>
      </c>
      <c r="J152" t="str">
        <v>湖南</v>
      </c>
      <c r="K152" s="124">
        <v>1475</v>
      </c>
      <c r="L152" t="str">
        <v>CNY</v>
      </c>
      <c r="N152" t="str">
        <v>待确认</v>
      </c>
      <c r="P152">
        <f>G152</f>
      </c>
      <c r="Q152" s="125"/>
      <c r="T152">
        <f>B152</f>
      </c>
      <c r="Y152" s="123"/>
      <c r="Z152" s="123"/>
      <c r="AA152" s="123"/>
      <c r="AB152" s="123"/>
      <c r="AC152" s="125"/>
      <c r="AO152">
        <f>K152</f>
      </c>
      <c r="AQ152" s="123">
        <f>AO152/(1+AP152)</f>
      </c>
      <c r="AR152">
        <f>L152</f>
      </c>
    </row>
    <row r="153">
      <c r="A153" t="str">
        <v>国内</v>
      </c>
      <c r="B153" t="str">
        <v>VA</v>
      </c>
      <c r="C153" t="str">
        <v>文创</v>
      </c>
      <c r="D153" t="str" xml:space="preserve">
        <v> </v>
      </c>
      <c r="E153" t="str" xml:space="preserve">
        <v> </v>
      </c>
      <c r="F153" t="str" xml:space="preserve">
        <v> </v>
      </c>
      <c r="G153" t="str">
        <v>JW20240509-1930</v>
      </c>
      <c r="H153">
        <v>20240515</v>
      </c>
      <c r="I153" t="str">
        <v>华北</v>
      </c>
      <c r="J153" t="str">
        <v>北京</v>
      </c>
      <c r="K153" s="124">
        <v>195490</v>
      </c>
      <c r="L153" t="str">
        <v>CNY</v>
      </c>
      <c r="N153" t="str">
        <v>待确认</v>
      </c>
      <c r="P153">
        <f>G153</f>
      </c>
      <c r="Q153" s="125"/>
      <c r="T153">
        <f>B153</f>
      </c>
      <c r="Y153" s="123"/>
      <c r="Z153" s="123"/>
      <c r="AA153" s="123"/>
      <c r="AB153" s="123"/>
      <c r="AC153" s="125"/>
      <c r="AO153">
        <f>K153</f>
      </c>
      <c r="AQ153" s="123">
        <f>AO153/(1+AP153)</f>
      </c>
      <c r="AR153">
        <f>L153</f>
      </c>
    </row>
    <row r="154">
      <c r="A154" t="str">
        <v>国内</v>
      </c>
      <c r="B154" t="str">
        <v>VA</v>
      </c>
      <c r="C154" t="str">
        <v>文创</v>
      </c>
      <c r="D154" t="str" xml:space="preserve">
        <v> </v>
      </c>
      <c r="E154" t="str" xml:space="preserve">
        <v> </v>
      </c>
      <c r="F154" t="str" xml:space="preserve">
        <v> </v>
      </c>
      <c r="G154" t="str">
        <v>JW20240509-1929</v>
      </c>
      <c r="H154">
        <v>20240515</v>
      </c>
      <c r="I154" t="str">
        <v>华北</v>
      </c>
      <c r="J154" t="str">
        <v>北京</v>
      </c>
      <c r="K154" s="124">
        <v>213850</v>
      </c>
      <c r="L154" t="str">
        <v>CNY</v>
      </c>
      <c r="N154" t="str">
        <v>待确认</v>
      </c>
      <c r="P154">
        <f>G154</f>
      </c>
      <c r="Q154" s="125"/>
      <c r="T154">
        <f>B154</f>
      </c>
      <c r="Y154" s="123"/>
      <c r="Z154" s="123"/>
      <c r="AA154" s="123"/>
      <c r="AB154" s="123"/>
      <c r="AC154" s="125"/>
      <c r="AO154">
        <f>K154</f>
      </c>
      <c r="AQ154" s="123">
        <f>AO154/(1+AP154)</f>
      </c>
      <c r="AR154">
        <f>L154</f>
      </c>
    </row>
    <row r="155">
      <c r="A155" t="str">
        <v>国内</v>
      </c>
      <c r="B155" t="str">
        <v>VA</v>
      </c>
      <c r="C155" t="str">
        <v>文创</v>
      </c>
      <c r="D155" t="str" xml:space="preserve">
        <v> </v>
      </c>
      <c r="E155" t="str" xml:space="preserve">
        <v> </v>
      </c>
      <c r="F155" t="str" xml:space="preserve">
        <v> </v>
      </c>
      <c r="G155" t="str">
        <v>JW20240509-1929</v>
      </c>
      <c r="H155">
        <v>20240515</v>
      </c>
      <c r="I155" t="str">
        <v>华北</v>
      </c>
      <c r="J155" t="str">
        <v>北京</v>
      </c>
      <c r="K155" s="124">
        <v>213850</v>
      </c>
      <c r="L155" t="str">
        <v>CNY</v>
      </c>
      <c r="N155" t="str">
        <v>待确认</v>
      </c>
      <c r="P155">
        <f>G155</f>
      </c>
      <c r="Q155" s="125"/>
      <c r="T155">
        <f>B155</f>
      </c>
      <c r="Y155" s="123"/>
      <c r="Z155" s="123"/>
      <c r="AA155" s="123"/>
      <c r="AB155" s="123"/>
      <c r="AC155" s="125"/>
      <c r="AO155">
        <f>K155</f>
      </c>
      <c r="AQ155" s="123">
        <f>AO155/(1+AP155)</f>
      </c>
      <c r="AR155">
        <f>L155</f>
      </c>
    </row>
    <row r="156">
      <c r="A156" t="str">
        <v>国内</v>
      </c>
      <c r="B156" t="str">
        <v>VA</v>
      </c>
      <c r="C156" t="str">
        <v>文创</v>
      </c>
      <c r="D156" t="str" xml:space="preserve">
        <v> </v>
      </c>
      <c r="E156" t="str" xml:space="preserve">
        <v> </v>
      </c>
      <c r="F156" t="str" xml:space="preserve">
        <v> </v>
      </c>
      <c r="G156" t="str">
        <v>JW20240509-1930</v>
      </c>
      <c r="H156">
        <v>20240515</v>
      </c>
      <c r="I156" t="str">
        <v>华北</v>
      </c>
      <c r="J156" t="str">
        <v>北京</v>
      </c>
      <c r="K156" s="124">
        <v>195490</v>
      </c>
      <c r="L156" t="str">
        <v>CNY</v>
      </c>
      <c r="N156" t="str">
        <v>待确认</v>
      </c>
      <c r="P156">
        <f>G156</f>
      </c>
      <c r="Q156" s="125"/>
      <c r="T156">
        <f>B156</f>
      </c>
      <c r="Y156" s="123"/>
      <c r="Z156" s="123"/>
      <c r="AA156" s="123"/>
      <c r="AB156" s="123"/>
      <c r="AC156" s="125"/>
      <c r="AO156">
        <f>K156</f>
      </c>
      <c r="AQ156" s="123">
        <f>AO156/(1+AP156)</f>
      </c>
      <c r="AR156">
        <f>L156</f>
      </c>
    </row>
    <row r="157">
      <c r="A157" t="str">
        <v>国内</v>
      </c>
      <c r="B157" t="str">
        <v>VA</v>
      </c>
      <c r="C157" t="str">
        <v>照明</v>
      </c>
      <c r="D157" t="str" xml:space="preserve">
        <v> </v>
      </c>
      <c r="E157" t="str" xml:space="preserve">
        <v> </v>
      </c>
      <c r="F157" t="str" xml:space="preserve">
        <v> </v>
      </c>
      <c r="G157" t="str">
        <v>UNIN2405275</v>
      </c>
      <c r="H157">
        <v>20240515</v>
      </c>
      <c r="I157" t="str">
        <v>华南</v>
      </c>
      <c r="J157" t="str">
        <v>广州</v>
      </c>
      <c r="K157" s="124">
        <v>257104</v>
      </c>
      <c r="L157" t="str">
        <v>CNY</v>
      </c>
      <c r="N157" t="str">
        <v>待确认</v>
      </c>
      <c r="P157">
        <f>G157</f>
      </c>
      <c r="Q157" s="125"/>
      <c r="T157">
        <f>B157</f>
      </c>
      <c r="Y157" s="123"/>
      <c r="Z157" s="123"/>
      <c r="AA157" s="123"/>
      <c r="AB157" s="123"/>
      <c r="AC157" s="125"/>
      <c r="AO157">
        <f>K157</f>
      </c>
      <c r="AQ157" s="123">
        <f>AO157/(1+AP157)</f>
      </c>
      <c r="AR157">
        <f>L157</f>
      </c>
    </row>
    <row r="158">
      <c r="A158" t="str">
        <v>国内</v>
      </c>
      <c r="B158" t="str">
        <v>VA</v>
      </c>
      <c r="C158" t="str">
        <v>照明</v>
      </c>
      <c r="D158" t="str" xml:space="preserve">
        <v> </v>
      </c>
      <c r="E158" t="str" xml:space="preserve">
        <v> </v>
      </c>
      <c r="F158" t="str" xml:space="preserve">
        <v> </v>
      </c>
      <c r="G158" t="str">
        <v>UNIN2403215增补2</v>
      </c>
      <c r="H158">
        <v>20240515</v>
      </c>
      <c r="I158" t="str">
        <v>华东</v>
      </c>
      <c r="J158" t="str">
        <v>浙江</v>
      </c>
      <c r="K158" s="124">
        <v>13000</v>
      </c>
      <c r="L158" t="str">
        <v>CNY</v>
      </c>
      <c r="N158" t="str">
        <v>待确认</v>
      </c>
      <c r="P158">
        <f>G158</f>
      </c>
      <c r="Q158" s="125"/>
      <c r="T158">
        <f>B158</f>
      </c>
      <c r="Y158" s="123"/>
      <c r="Z158" s="123"/>
      <c r="AA158" s="123"/>
      <c r="AB158" s="123"/>
      <c r="AC158" s="125"/>
      <c r="AO158">
        <f>K158</f>
      </c>
      <c r="AQ158" s="123">
        <f>AO158/(1+AP158)</f>
      </c>
      <c r="AR158">
        <f>L158</f>
      </c>
    </row>
    <row r="159">
      <c r="A159" t="str">
        <v>国内</v>
      </c>
      <c r="B159" t="str">
        <v>VA</v>
      </c>
      <c r="C159" t="str">
        <v>照明</v>
      </c>
      <c r="D159" t="str" xml:space="preserve">
        <v> </v>
      </c>
      <c r="E159" t="str" xml:space="preserve">
        <v> </v>
      </c>
      <c r="F159" t="str" xml:space="preserve">
        <v> </v>
      </c>
      <c r="G159" t="str">
        <v>UNIN2404239增补</v>
      </c>
      <c r="H159">
        <v>20240514</v>
      </c>
      <c r="I159" t="str">
        <v>西南</v>
      </c>
      <c r="J159" t="str">
        <v>重庆</v>
      </c>
      <c r="K159" s="126">
        <v>9921.6</v>
      </c>
      <c r="L159" t="str">
        <v>CNY</v>
      </c>
      <c r="N159" t="str">
        <v>待确认</v>
      </c>
      <c r="P159">
        <f>G159</f>
      </c>
      <c r="Q159" s="125"/>
      <c r="T159">
        <f>B159</f>
      </c>
      <c r="Y159" s="123"/>
      <c r="Z159" s="123"/>
      <c r="AA159" s="123"/>
      <c r="AB159" s="123"/>
      <c r="AC159" s="125"/>
      <c r="AO159">
        <f>K159</f>
      </c>
      <c r="AQ159" s="123">
        <f>AO159/(1+AP159)</f>
      </c>
      <c r="AR159">
        <f>L159</f>
      </c>
    </row>
    <row r="160">
      <c r="A160" t="str">
        <v>国内</v>
      </c>
      <c r="B160" t="str">
        <v>VA</v>
      </c>
      <c r="C160" t="str">
        <v>照明</v>
      </c>
      <c r="D160" t="str" xml:space="preserve">
        <v> </v>
      </c>
      <c r="E160" t="str" xml:space="preserve">
        <v> </v>
      </c>
      <c r="F160" t="str" xml:space="preserve">
        <v> </v>
      </c>
      <c r="G160" t="str">
        <v>UNIN2405268</v>
      </c>
      <c r="H160">
        <v>20240514</v>
      </c>
      <c r="I160" t="str">
        <v>西南</v>
      </c>
      <c r="J160" t="str">
        <v>重庆</v>
      </c>
      <c r="K160" s="124">
        <v>54050</v>
      </c>
      <c r="L160" t="str">
        <v>CNY</v>
      </c>
      <c r="N160" t="str">
        <v>待确认</v>
      </c>
      <c r="P160">
        <f>G160</f>
      </c>
      <c r="Q160" s="125"/>
      <c r="T160">
        <f>B160</f>
      </c>
      <c r="Y160" s="123"/>
      <c r="Z160" s="123"/>
      <c r="AA160" s="123"/>
      <c r="AB160" s="123"/>
      <c r="AC160" s="125"/>
      <c r="AO160">
        <f>K160</f>
      </c>
      <c r="AQ160" s="123">
        <f>AO160/(1+AP160)</f>
      </c>
      <c r="AR160">
        <f>L160</f>
      </c>
    </row>
    <row r="161">
      <c r="A161" t="str">
        <v>国内</v>
      </c>
      <c r="B161" t="str">
        <v>VA</v>
      </c>
      <c r="C161" t="str">
        <v>照明</v>
      </c>
      <c r="D161" t="str" xml:space="preserve">
        <v> </v>
      </c>
      <c r="E161" t="str" xml:space="preserve">
        <v> </v>
      </c>
      <c r="F161" t="str" xml:space="preserve">
        <v> </v>
      </c>
      <c r="G161" t="str">
        <v>UNIN2309290增补1</v>
      </c>
      <c r="H161">
        <v>20240514</v>
      </c>
      <c r="I161" t="str">
        <v>华中</v>
      </c>
      <c r="J161" t="str">
        <v>江西</v>
      </c>
      <c r="K161" s="124">
        <v>18720</v>
      </c>
      <c r="L161" t="str">
        <v>CNY</v>
      </c>
      <c r="N161" t="str">
        <v>待确认</v>
      </c>
      <c r="P161">
        <f>G161</f>
      </c>
      <c r="Q161" s="125"/>
      <c r="T161">
        <f>B161</f>
      </c>
      <c r="Y161" s="123"/>
      <c r="Z161" s="123"/>
      <c r="AA161" s="123"/>
      <c r="AB161" s="123"/>
      <c r="AC161" s="125"/>
      <c r="AO161">
        <f>K161</f>
      </c>
      <c r="AQ161" s="123">
        <f>AO161/(1+AP161)</f>
      </c>
      <c r="AR161">
        <f>L161</f>
      </c>
    </row>
    <row r="162">
      <c r="A162" t="str">
        <v>国内</v>
      </c>
      <c r="B162" t="str">
        <v>VA</v>
      </c>
      <c r="C162" t="str">
        <v>照明</v>
      </c>
      <c r="D162" t="str" xml:space="preserve">
        <v> </v>
      </c>
      <c r="E162" t="str" xml:space="preserve">
        <v> </v>
      </c>
      <c r="F162" t="str" xml:space="preserve">
        <v> </v>
      </c>
      <c r="G162" t="str">
        <v>UNIN2405274</v>
      </c>
      <c r="H162">
        <v>20240514</v>
      </c>
      <c r="I162" t="str">
        <v>西南</v>
      </c>
      <c r="J162" t="str">
        <v>贵州</v>
      </c>
      <c r="K162" s="124">
        <v>1290</v>
      </c>
      <c r="L162" t="str">
        <v>CNY</v>
      </c>
      <c r="N162" t="str">
        <v>待确认</v>
      </c>
      <c r="P162">
        <f>G162</f>
      </c>
      <c r="Q162" s="125"/>
      <c r="T162">
        <f>B162</f>
      </c>
      <c r="Y162" s="123"/>
      <c r="Z162" s="123"/>
      <c r="AA162" s="123"/>
      <c r="AB162" s="123"/>
      <c r="AC162" s="125"/>
      <c r="AO162">
        <f>K162</f>
      </c>
      <c r="AQ162" s="123">
        <f>AO162/(1+AP162)</f>
      </c>
      <c r="AR162">
        <f>L162</f>
      </c>
    </row>
    <row r="163">
      <c r="A163" t="str">
        <v>国内</v>
      </c>
      <c r="B163" t="str">
        <v>VA</v>
      </c>
      <c r="C163" t="str">
        <v>照明</v>
      </c>
      <c r="D163" t="str" xml:space="preserve">
        <v> </v>
      </c>
      <c r="E163" t="str" xml:space="preserve">
        <v> </v>
      </c>
      <c r="F163" t="str" xml:space="preserve">
        <v> </v>
      </c>
      <c r="G163" t="str">
        <v>UNIN2405272</v>
      </c>
      <c r="H163">
        <v>20240513</v>
      </c>
      <c r="I163" t="str">
        <v>西南</v>
      </c>
      <c r="J163" t="str">
        <v>贵州</v>
      </c>
      <c r="K163" s="124">
        <v>60167</v>
      </c>
      <c r="L163" t="str">
        <v>CNY</v>
      </c>
      <c r="N163" t="str">
        <v>待确认</v>
      </c>
      <c r="P163">
        <f>G163</f>
      </c>
      <c r="Q163" s="125"/>
      <c r="T163">
        <f>B163</f>
      </c>
      <c r="Y163" s="123"/>
      <c r="Z163" s="123"/>
      <c r="AA163" s="123"/>
      <c r="AB163" s="123"/>
      <c r="AC163" s="125"/>
      <c r="AO163">
        <f>K163</f>
      </c>
      <c r="AQ163" s="123">
        <f>AO163/(1+AP163)</f>
      </c>
      <c r="AR163">
        <f>L163</f>
      </c>
    </row>
    <row r="164">
      <c r="A164" t="str">
        <v>国内</v>
      </c>
      <c r="B164" t="str">
        <v>VA</v>
      </c>
      <c r="C164" t="str">
        <v>照明</v>
      </c>
      <c r="D164" t="str" xml:space="preserve">
        <v> </v>
      </c>
      <c r="E164" t="str" xml:space="preserve">
        <v> </v>
      </c>
      <c r="F164" t="str" xml:space="preserve">
        <v> </v>
      </c>
      <c r="G164" t="str">
        <v>UNIN2404266</v>
      </c>
      <c r="H164">
        <v>20240509</v>
      </c>
      <c r="I164" t="str">
        <v>华南</v>
      </c>
      <c r="J164" t="str">
        <v>广西</v>
      </c>
      <c r="K164" s="124">
        <v>8475</v>
      </c>
      <c r="L164" t="str">
        <v>CNY</v>
      </c>
      <c r="N164" t="str">
        <v>待确认</v>
      </c>
      <c r="P164">
        <f>G164</f>
      </c>
      <c r="Q164" s="125"/>
      <c r="T164">
        <f>B164</f>
      </c>
      <c r="Y164" s="123"/>
      <c r="Z164" s="123"/>
      <c r="AA164" s="123"/>
      <c r="AB164" s="123"/>
      <c r="AC164" s="125"/>
      <c r="AO164">
        <f>K164</f>
      </c>
      <c r="AQ164" s="123">
        <f>AO164/(1+AP164)</f>
      </c>
      <c r="AR164">
        <f>L164</f>
      </c>
    </row>
    <row r="165">
      <c r="A165" t="str">
        <v>国内</v>
      </c>
      <c r="B165" t="str">
        <v>VA</v>
      </c>
      <c r="C165" t="str">
        <v>照明</v>
      </c>
      <c r="D165" t="str" xml:space="preserve">
        <v> </v>
      </c>
      <c r="E165" t="str" xml:space="preserve">
        <v> </v>
      </c>
      <c r="F165" t="str" xml:space="preserve">
        <v> </v>
      </c>
      <c r="G165" t="str">
        <v>UNIN2404248</v>
      </c>
      <c r="H165">
        <v>20240509</v>
      </c>
      <c r="I165" t="str">
        <v>华中</v>
      </c>
      <c r="J165" t="str">
        <v>山东</v>
      </c>
      <c r="K165" s="124">
        <v>15000</v>
      </c>
      <c r="L165" t="str">
        <v>CNY</v>
      </c>
      <c r="N165" t="str">
        <v>待确认</v>
      </c>
      <c r="P165">
        <f>G165</f>
      </c>
      <c r="Q165" s="125"/>
      <c r="T165">
        <f>B165</f>
      </c>
      <c r="Y165" s="123"/>
      <c r="Z165" s="123"/>
      <c r="AA165" s="123"/>
      <c r="AB165" s="123"/>
      <c r="AC165" s="125"/>
      <c r="AO165">
        <f>K165</f>
      </c>
      <c r="AQ165" s="123">
        <f>AO165/(1+AP165)</f>
      </c>
      <c r="AR165">
        <f>L165</f>
      </c>
    </row>
    <row r="166">
      <c r="A166" t="str">
        <v>国内</v>
      </c>
      <c r="B166" t="str">
        <v>VA</v>
      </c>
      <c r="C166" t="str">
        <v>照明</v>
      </c>
      <c r="D166" t="str" xml:space="preserve">
        <v> </v>
      </c>
      <c r="E166" t="str" xml:space="preserve">
        <v> </v>
      </c>
      <c r="F166" t="str" xml:space="preserve">
        <v> </v>
      </c>
      <c r="G166" t="str">
        <v>UNIN2404241</v>
      </c>
      <c r="H166">
        <v>20240509</v>
      </c>
      <c r="I166" t="str">
        <v>华北</v>
      </c>
      <c r="J166" t="str">
        <v>内蒙</v>
      </c>
      <c r="K166" s="124">
        <v>82111</v>
      </c>
      <c r="L166" t="str">
        <v>CNY</v>
      </c>
      <c r="N166" t="str">
        <v>待确认</v>
      </c>
      <c r="P166">
        <f>G166</f>
      </c>
      <c r="Q166" s="125"/>
      <c r="T166">
        <f>B166</f>
      </c>
      <c r="Y166" s="123"/>
      <c r="Z166" s="123"/>
      <c r="AA166" s="123"/>
      <c r="AB166" s="123"/>
      <c r="AC166" s="125"/>
      <c r="AO166">
        <f>K166</f>
      </c>
      <c r="AQ166" s="123">
        <f>AO166/(1+AP166)</f>
      </c>
      <c r="AR166">
        <f>L166</f>
      </c>
    </row>
    <row r="167">
      <c r="A167" t="str">
        <v>国内</v>
      </c>
      <c r="B167" t="str">
        <v>VA</v>
      </c>
      <c r="C167" t="str">
        <v>照明</v>
      </c>
      <c r="D167" t="str" xml:space="preserve">
        <v> </v>
      </c>
      <c r="E167" t="str" xml:space="preserve">
        <v> </v>
      </c>
      <c r="F167" t="str" xml:space="preserve">
        <v> </v>
      </c>
      <c r="G167" t="str">
        <v>UNIN2404250</v>
      </c>
      <c r="H167">
        <v>20240508</v>
      </c>
      <c r="I167" t="str">
        <v>华东</v>
      </c>
      <c r="J167" t="str">
        <v>上海</v>
      </c>
      <c r="K167" s="126">
        <v>10087.72</v>
      </c>
      <c r="L167" t="str">
        <v>CNY</v>
      </c>
      <c r="N167" t="str">
        <v>待确认</v>
      </c>
      <c r="P167">
        <f>G167</f>
      </c>
      <c r="Q167" s="125"/>
      <c r="T167">
        <f>B167</f>
      </c>
      <c r="Y167" s="123"/>
      <c r="Z167" s="123"/>
      <c r="AA167" s="123"/>
      <c r="AB167" s="123"/>
      <c r="AC167" s="125"/>
      <c r="AO167">
        <f>K167</f>
      </c>
      <c r="AQ167" s="123">
        <f>AO167/(1+AP167)</f>
      </c>
      <c r="AR167">
        <f>L167</f>
      </c>
    </row>
    <row r="168">
      <c r="A168" t="str">
        <v>国内</v>
      </c>
      <c r="B168" t="str">
        <v>VA</v>
      </c>
      <c r="C168" t="str">
        <v>照明</v>
      </c>
      <c r="D168" t="str" xml:space="preserve">
        <v> </v>
      </c>
      <c r="E168" t="str" xml:space="preserve">
        <v> </v>
      </c>
      <c r="F168" t="str" xml:space="preserve">
        <v> </v>
      </c>
      <c r="G168" t="str">
        <v>UNIN2404265</v>
      </c>
      <c r="H168">
        <v>20240508</v>
      </c>
      <c r="I168" t="str">
        <v>华南</v>
      </c>
      <c r="J168" t="str">
        <v>福建</v>
      </c>
      <c r="K168" s="124">
        <v>12400</v>
      </c>
      <c r="L168" t="str">
        <v>CNY</v>
      </c>
      <c r="N168" t="str">
        <v>待确认</v>
      </c>
      <c r="P168">
        <f>G168</f>
      </c>
      <c r="Q168" s="125"/>
      <c r="T168">
        <f>B168</f>
      </c>
      <c r="Y168" s="123"/>
      <c r="Z168" s="123"/>
      <c r="AA168" s="123"/>
      <c r="AB168" s="123"/>
      <c r="AC168" s="125"/>
      <c r="AO168">
        <f>K168</f>
      </c>
      <c r="AQ168" s="123">
        <f>AO168/(1+AP168)</f>
      </c>
      <c r="AR168">
        <f>L168</f>
      </c>
    </row>
    <row r="169">
      <c r="A169" t="str">
        <v>国内</v>
      </c>
      <c r="B169" t="str">
        <v>VA</v>
      </c>
      <c r="C169" t="str">
        <v>照明</v>
      </c>
      <c r="D169" t="str" xml:space="preserve">
        <v> </v>
      </c>
      <c r="E169" t="str" xml:space="preserve">
        <v> </v>
      </c>
      <c r="F169" t="str" xml:space="preserve">
        <v> </v>
      </c>
      <c r="G169" t="str">
        <v>UNIN2305121增补2</v>
      </c>
      <c r="H169">
        <v>20240508</v>
      </c>
      <c r="I169" t="str">
        <v>华南</v>
      </c>
      <c r="J169" t="str">
        <v>广州</v>
      </c>
      <c r="K169" s="124">
        <v>5704</v>
      </c>
      <c r="L169" t="str">
        <v>CNY</v>
      </c>
      <c r="N169" t="str">
        <v>待确认</v>
      </c>
      <c r="P169">
        <f>G169</f>
      </c>
      <c r="Q169" s="125"/>
      <c r="T169">
        <f>B169</f>
      </c>
      <c r="Y169" s="123"/>
      <c r="Z169" s="123"/>
      <c r="AA169" s="123"/>
      <c r="AB169" s="123"/>
      <c r="AC169" s="125"/>
      <c r="AO169">
        <f>K169</f>
      </c>
      <c r="AQ169" s="123">
        <f>AO169/(1+AP169)</f>
      </c>
      <c r="AR169">
        <f>L169</f>
      </c>
    </row>
    <row r="170">
      <c r="A170" t="str">
        <v>国内</v>
      </c>
      <c r="B170" t="str">
        <v>VA</v>
      </c>
      <c r="C170" t="str">
        <v>照明</v>
      </c>
      <c r="D170" t="str" xml:space="preserve">
        <v> </v>
      </c>
      <c r="E170" t="str" xml:space="preserve">
        <v> </v>
      </c>
      <c r="F170" t="str" xml:space="preserve">
        <v> </v>
      </c>
      <c r="G170" t="str">
        <v>UNIN2404257</v>
      </c>
      <c r="H170">
        <v>20240508</v>
      </c>
      <c r="I170" t="str">
        <v>西南</v>
      </c>
      <c r="J170" t="str">
        <v>重庆</v>
      </c>
      <c r="K170">
        <v>800</v>
      </c>
      <c r="L170" t="str">
        <v>CNY</v>
      </c>
      <c r="N170" t="str">
        <v>待确认</v>
      </c>
      <c r="P170">
        <f>G170</f>
      </c>
      <c r="Q170" s="125"/>
      <c r="T170">
        <f>B170</f>
      </c>
      <c r="Y170" s="123"/>
      <c r="Z170" s="123"/>
      <c r="AA170" s="123"/>
      <c r="AB170" s="123"/>
      <c r="AC170" s="125"/>
      <c r="AO170">
        <f>K170</f>
      </c>
      <c r="AQ170" s="123">
        <f>AO170/(1+AP170)</f>
      </c>
      <c r="AR170">
        <f>L170</f>
      </c>
    </row>
    <row r="171">
      <c r="A171" t="str">
        <v>国内</v>
      </c>
      <c r="B171" t="str">
        <v>VA</v>
      </c>
      <c r="C171" t="str">
        <v>照明</v>
      </c>
      <c r="D171" t="str" xml:space="preserve">
        <v> </v>
      </c>
      <c r="E171" t="str" xml:space="preserve">
        <v> </v>
      </c>
      <c r="F171" t="str" xml:space="preserve">
        <v> </v>
      </c>
      <c r="G171" t="str">
        <v>UNIN2404261</v>
      </c>
      <c r="H171">
        <v>20240508</v>
      </c>
      <c r="I171" t="str">
        <v>华东</v>
      </c>
      <c r="J171" t="str">
        <v>上海</v>
      </c>
      <c r="K171" s="126">
        <v>53615.22</v>
      </c>
      <c r="L171" t="str">
        <v>CNY</v>
      </c>
      <c r="N171" t="str">
        <v>待确认</v>
      </c>
      <c r="P171">
        <f>G171</f>
      </c>
      <c r="Q171" s="125"/>
      <c r="T171">
        <f>B171</f>
      </c>
      <c r="Y171" s="123"/>
      <c r="Z171" s="123"/>
      <c r="AA171" s="123"/>
      <c r="AB171" s="123"/>
      <c r="AC171" s="125"/>
      <c r="AO171">
        <f>K171</f>
      </c>
      <c r="AQ171" s="123">
        <f>AO171/(1+AP171)</f>
      </c>
      <c r="AR171">
        <f>L171</f>
      </c>
    </row>
    <row r="172">
      <c r="A172" t="str">
        <v>国内</v>
      </c>
      <c r="B172" t="str">
        <v>VA</v>
      </c>
      <c r="C172" t="str">
        <v>照明</v>
      </c>
      <c r="D172" t="str" xml:space="preserve">
        <v> </v>
      </c>
      <c r="E172" t="str" xml:space="preserve">
        <v> </v>
      </c>
      <c r="F172" t="str" xml:space="preserve">
        <v> </v>
      </c>
      <c r="G172" t="str">
        <v>UNIN2404264</v>
      </c>
      <c r="H172">
        <v>20240508</v>
      </c>
      <c r="I172" t="str">
        <v>东中</v>
      </c>
      <c r="J172" t="str">
        <v>湖南</v>
      </c>
      <c r="K172" s="124">
        <v>12000</v>
      </c>
      <c r="L172" t="str">
        <v>CNY</v>
      </c>
      <c r="N172" t="str">
        <v>待确认</v>
      </c>
      <c r="P172">
        <f>G172</f>
      </c>
      <c r="Q172" s="125"/>
      <c r="T172">
        <f>B172</f>
      </c>
      <c r="Y172" s="123"/>
      <c r="Z172" s="123"/>
      <c r="AA172" s="123"/>
      <c r="AB172" s="123"/>
      <c r="AC172" s="125"/>
      <c r="AO172">
        <f>K172</f>
      </c>
      <c r="AQ172" s="123">
        <f>AO172/(1+AP172)</f>
      </c>
      <c r="AR172">
        <f>L172</f>
      </c>
    </row>
    <row r="173">
      <c r="A173" t="str">
        <v>国内</v>
      </c>
      <c r="B173" t="str">
        <v>VA</v>
      </c>
      <c r="C173" t="str">
        <v>照明</v>
      </c>
      <c r="D173" t="str" xml:space="preserve">
        <v> </v>
      </c>
      <c r="E173" t="str" xml:space="preserve">
        <v> </v>
      </c>
      <c r="F173" t="str" xml:space="preserve">
        <v> </v>
      </c>
      <c r="G173" t="str">
        <v>UNIN2403209</v>
      </c>
      <c r="H173">
        <v>20240507</v>
      </c>
      <c r="I173" t="str">
        <v>华南</v>
      </c>
      <c r="J173" t="str">
        <v>广州</v>
      </c>
      <c r="K173" s="124">
        <v>20700</v>
      </c>
      <c r="L173" t="str">
        <v>CNY</v>
      </c>
      <c r="N173" t="str">
        <v>待确认</v>
      </c>
      <c r="P173">
        <f>G173</f>
      </c>
      <c r="Q173" s="125"/>
      <c r="T173">
        <f>B173</f>
      </c>
      <c r="Y173" s="123"/>
      <c r="Z173" s="123"/>
      <c r="AA173" s="123"/>
      <c r="AB173" s="123"/>
      <c r="AC173" s="125"/>
      <c r="AO173">
        <f>K173</f>
      </c>
      <c r="AQ173" s="123">
        <f>AO173/(1+AP173)</f>
      </c>
      <c r="AR173">
        <f>L173</f>
      </c>
    </row>
    <row r="174">
      <c r="A174" t="str">
        <v>国内</v>
      </c>
      <c r="B174" t="str">
        <v>VA</v>
      </c>
      <c r="C174" t="str">
        <v>文创</v>
      </c>
      <c r="D174" t="str" xml:space="preserve">
        <v> </v>
      </c>
      <c r="E174" t="str" xml:space="preserve">
        <v> </v>
      </c>
      <c r="F174" t="str" xml:space="preserve">
        <v> </v>
      </c>
      <c r="G174" t="str">
        <v>JW20190923-1626售后维修</v>
      </c>
      <c r="H174">
        <v>20240430</v>
      </c>
      <c r="I174" t="str">
        <v>华东</v>
      </c>
      <c r="J174" t="str">
        <v>上海</v>
      </c>
      <c r="K174" s="124">
        <v>25952</v>
      </c>
      <c r="L174" t="str">
        <v>CNY</v>
      </c>
      <c r="N174" t="str">
        <v>待确认</v>
      </c>
      <c r="P174">
        <f>G174</f>
      </c>
      <c r="Q174" s="125"/>
      <c r="T174">
        <f>B174</f>
      </c>
      <c r="Y174" s="123"/>
      <c r="Z174" s="123"/>
      <c r="AA174" s="123"/>
      <c r="AB174" s="123"/>
      <c r="AC174" s="125"/>
      <c r="AO174">
        <f>K174</f>
      </c>
      <c r="AQ174" s="123">
        <f>AO174/(1+AP174)</f>
      </c>
      <c r="AR174">
        <f>L174</f>
      </c>
    </row>
    <row r="175">
      <c r="A175" t="str">
        <v>国内</v>
      </c>
      <c r="B175" t="str">
        <v>VA</v>
      </c>
      <c r="C175" t="str">
        <v>文创</v>
      </c>
      <c r="D175" t="str" xml:space="preserve">
        <v> </v>
      </c>
      <c r="E175" t="str" xml:space="preserve">
        <v> </v>
      </c>
      <c r="F175" t="str" xml:space="preserve">
        <v> </v>
      </c>
      <c r="G175" t="str">
        <v>JW20190923-1626售后维修</v>
      </c>
      <c r="H175">
        <v>20240430</v>
      </c>
      <c r="I175" t="str">
        <v>华东</v>
      </c>
      <c r="J175" t="str">
        <v>上海</v>
      </c>
      <c r="K175" s="124">
        <v>25952</v>
      </c>
      <c r="L175" t="str">
        <v>CNY</v>
      </c>
      <c r="N175" t="str">
        <v>待确认</v>
      </c>
      <c r="P175">
        <f>G175</f>
      </c>
      <c r="Q175" s="125"/>
      <c r="T175">
        <f>B175</f>
      </c>
      <c r="Y175" s="123"/>
      <c r="Z175" s="123"/>
      <c r="AA175" s="123"/>
      <c r="AB175" s="123"/>
      <c r="AC175" s="125"/>
      <c r="AO175">
        <f>K175</f>
      </c>
      <c r="AQ175" s="123">
        <f>AO175/(1+AP175)</f>
      </c>
      <c r="AR175">
        <f>L175</f>
      </c>
    </row>
    <row r="176">
      <c r="A176" t="str">
        <v>国内</v>
      </c>
      <c r="B176" t="str">
        <v>VA</v>
      </c>
      <c r="C176" t="str">
        <v>照明</v>
      </c>
      <c r="D176" t="str" xml:space="preserve">
        <v> </v>
      </c>
      <c r="E176" t="str" xml:space="preserve">
        <v> </v>
      </c>
      <c r="F176" t="str" xml:space="preserve">
        <v> </v>
      </c>
      <c r="G176" t="str">
        <v>UNIN2404245</v>
      </c>
      <c r="H176">
        <v>20240430</v>
      </c>
      <c r="I176" t="str">
        <v>华南</v>
      </c>
      <c r="J176" t="str">
        <v>深圳</v>
      </c>
      <c r="K176" s="124">
        <v>91100</v>
      </c>
      <c r="L176" t="str">
        <v>CNY</v>
      </c>
      <c r="N176" t="str">
        <v>待确认</v>
      </c>
      <c r="P176">
        <f>G176</f>
      </c>
      <c r="Q176" s="125"/>
      <c r="T176">
        <f>B176</f>
      </c>
      <c r="Y176" s="123"/>
      <c r="Z176" s="123"/>
      <c r="AA176" s="123"/>
      <c r="AB176" s="123"/>
      <c r="AC176" s="125"/>
      <c r="AO176">
        <f>K176</f>
      </c>
      <c r="AQ176" s="123">
        <f>AO176/(1+AP176)</f>
      </c>
      <c r="AR176">
        <f>L176</f>
      </c>
    </row>
    <row r="177">
      <c r="A177" t="str">
        <v>国内</v>
      </c>
      <c r="B177" t="str">
        <v>VA</v>
      </c>
      <c r="C177" t="str">
        <v>照明</v>
      </c>
      <c r="D177" t="str" xml:space="preserve">
        <v> </v>
      </c>
      <c r="E177" t="str" xml:space="preserve">
        <v> </v>
      </c>
      <c r="F177" t="str" xml:space="preserve">
        <v> </v>
      </c>
      <c r="G177" t="str">
        <v>UNIN2403215增补1</v>
      </c>
      <c r="H177">
        <v>20240429</v>
      </c>
      <c r="I177" t="str">
        <v>华东</v>
      </c>
      <c r="J177" t="str">
        <v>浙江</v>
      </c>
      <c r="K177" s="124">
        <v>89328</v>
      </c>
      <c r="L177" t="str">
        <v>CNY</v>
      </c>
      <c r="N177" t="str">
        <v>待确认</v>
      </c>
      <c r="P177">
        <f>G177</f>
      </c>
      <c r="Q177" s="125"/>
      <c r="T177">
        <f>B177</f>
      </c>
      <c r="Y177" s="123"/>
      <c r="Z177" s="123"/>
      <c r="AA177" s="123"/>
      <c r="AB177" s="123"/>
      <c r="AC177" s="125"/>
      <c r="AO177">
        <f>K177</f>
      </c>
      <c r="AQ177" s="123">
        <f>AO177/(1+AP177)</f>
      </c>
      <c r="AR177">
        <f>L177</f>
      </c>
    </row>
    <row r="178">
      <c r="A178" t="str">
        <v>国内</v>
      </c>
      <c r="B178" t="str">
        <v>VA</v>
      </c>
      <c r="C178" t="str">
        <v>照明</v>
      </c>
      <c r="D178" t="str" xml:space="preserve">
        <v> </v>
      </c>
      <c r="E178" t="str" xml:space="preserve">
        <v> </v>
      </c>
      <c r="F178" t="str" xml:space="preserve">
        <v> </v>
      </c>
      <c r="G178" t="str">
        <v>UNIN2404253</v>
      </c>
      <c r="H178">
        <v>20240428</v>
      </c>
      <c r="I178" t="str">
        <v>华东</v>
      </c>
      <c r="J178" t="str">
        <v>浙江</v>
      </c>
      <c r="K178" s="124">
        <v>132778</v>
      </c>
      <c r="L178" t="str">
        <v>CNY</v>
      </c>
      <c r="N178" t="str">
        <v>待确认</v>
      </c>
      <c r="P178">
        <f>G178</f>
      </c>
      <c r="Q178" s="125"/>
      <c r="T178">
        <f>B178</f>
      </c>
      <c r="Y178" s="123"/>
      <c r="Z178" s="123"/>
      <c r="AA178" s="123"/>
      <c r="AB178" s="123"/>
      <c r="AC178" s="125"/>
      <c r="AO178">
        <f>K178</f>
      </c>
      <c r="AQ178" s="123">
        <f>AO178/(1+AP178)</f>
      </c>
      <c r="AR178">
        <f>L178</f>
      </c>
    </row>
    <row r="179">
      <c r="A179" t="str">
        <v>国内</v>
      </c>
      <c r="B179" t="str">
        <v>VA</v>
      </c>
      <c r="C179" t="str">
        <v>照明</v>
      </c>
      <c r="D179" t="str" xml:space="preserve">
        <v> </v>
      </c>
      <c r="E179" t="str" xml:space="preserve">
        <v> </v>
      </c>
      <c r="F179" t="str" xml:space="preserve">
        <v> </v>
      </c>
      <c r="G179" t="str">
        <v>UNIN2404260</v>
      </c>
      <c r="H179">
        <v>20240426</v>
      </c>
      <c r="I179" t="str">
        <v>华东</v>
      </c>
      <c r="J179" t="str">
        <v>上海</v>
      </c>
      <c r="K179" s="126">
        <v>107226.85</v>
      </c>
      <c r="L179" t="str">
        <v>CNY</v>
      </c>
      <c r="N179" t="str">
        <v>待确认</v>
      </c>
      <c r="P179">
        <f>G179</f>
      </c>
      <c r="Q179" s="125"/>
      <c r="T179">
        <f>B179</f>
      </c>
      <c r="Y179" s="123"/>
      <c r="Z179" s="123"/>
      <c r="AA179" s="123"/>
      <c r="AB179" s="123"/>
      <c r="AC179" s="125"/>
      <c r="AO179">
        <f>K179</f>
      </c>
      <c r="AQ179" s="123">
        <f>AO179/(1+AP179)</f>
      </c>
      <c r="AR179">
        <f>L179</f>
      </c>
    </row>
    <row r="180">
      <c r="A180" t="str">
        <v>国内</v>
      </c>
      <c r="B180" t="str">
        <v>VA</v>
      </c>
      <c r="C180" t="str">
        <v>照明</v>
      </c>
      <c r="D180" t="str" xml:space="preserve">
        <v> </v>
      </c>
      <c r="E180" t="str" xml:space="preserve">
        <v> </v>
      </c>
      <c r="F180" t="str" xml:space="preserve">
        <v> </v>
      </c>
      <c r="G180" t="str">
        <v>UNIN2403045</v>
      </c>
      <c r="H180">
        <v>20240426</v>
      </c>
      <c r="I180" t="str">
        <v>华南</v>
      </c>
      <c r="J180" t="str">
        <v>深圳</v>
      </c>
      <c r="K180" s="126">
        <v>480701.15</v>
      </c>
      <c r="L180" t="str">
        <v>CNY</v>
      </c>
      <c r="N180" t="str">
        <v>待确认</v>
      </c>
      <c r="P180">
        <f>G180</f>
      </c>
      <c r="Q180" s="125"/>
      <c r="T180">
        <f>B180</f>
      </c>
      <c r="Y180" s="123"/>
      <c r="Z180" s="123"/>
      <c r="AA180" s="123"/>
      <c r="AB180" s="123"/>
      <c r="AC180" s="125"/>
      <c r="AO180">
        <f>K180</f>
      </c>
      <c r="AQ180" s="123">
        <f>AO180/(1+AP180)</f>
      </c>
      <c r="AR180">
        <f>L180</f>
      </c>
    </row>
    <row r="181">
      <c r="A181" t="str">
        <v>国内</v>
      </c>
      <c r="B181" t="str">
        <v>VA</v>
      </c>
      <c r="C181" t="str">
        <v>照明</v>
      </c>
      <c r="D181" t="str" xml:space="preserve">
        <v> </v>
      </c>
      <c r="E181" t="str" xml:space="preserve">
        <v> </v>
      </c>
      <c r="F181" t="str" xml:space="preserve">
        <v> </v>
      </c>
      <c r="G181" t="str">
        <v>UNIN2404234</v>
      </c>
      <c r="H181">
        <v>20240426</v>
      </c>
      <c r="I181" t="str">
        <v>华南</v>
      </c>
      <c r="J181" t="str">
        <v>深圳</v>
      </c>
      <c r="K181" s="124">
        <v>101300</v>
      </c>
      <c r="L181" t="str">
        <v>CNY</v>
      </c>
      <c r="N181" t="str">
        <v>待确认</v>
      </c>
      <c r="P181">
        <f>G181</f>
      </c>
      <c r="Q181" s="125"/>
      <c r="T181">
        <f>B181</f>
      </c>
      <c r="Y181" s="123"/>
      <c r="Z181" s="123"/>
      <c r="AA181" s="123"/>
      <c r="AB181" s="123"/>
      <c r="AC181" s="125"/>
      <c r="AO181">
        <f>K181</f>
      </c>
      <c r="AQ181" s="123">
        <f>AO181/(1+AP181)</f>
      </c>
      <c r="AR181">
        <f>L181</f>
      </c>
    </row>
    <row r="182">
      <c r="A182" t="str">
        <v>国内</v>
      </c>
      <c r="B182" t="str">
        <v>VA</v>
      </c>
      <c r="C182" t="str">
        <v>照明</v>
      </c>
      <c r="D182" t="str" xml:space="preserve">
        <v> </v>
      </c>
      <c r="E182" t="str" xml:space="preserve">
        <v> </v>
      </c>
      <c r="F182" t="str" xml:space="preserve">
        <v> </v>
      </c>
      <c r="G182" t="str">
        <v>UNIN2404258</v>
      </c>
      <c r="H182">
        <v>20240426</v>
      </c>
      <c r="I182" t="str">
        <v>西南</v>
      </c>
      <c r="J182" t="str">
        <v>四川</v>
      </c>
      <c r="K182" s="124">
        <v>3905</v>
      </c>
      <c r="L182" t="str">
        <v>CNY</v>
      </c>
      <c r="N182" t="str">
        <v>待确认</v>
      </c>
      <c r="P182">
        <f>G182</f>
      </c>
      <c r="Q182" s="125"/>
      <c r="T182">
        <f>B182</f>
      </c>
      <c r="Y182" s="123"/>
      <c r="Z182" s="123"/>
      <c r="AA182" s="123"/>
      <c r="AB182" s="123"/>
      <c r="AC182" s="125"/>
      <c r="AO182">
        <f>K182</f>
      </c>
      <c r="AQ182" s="123">
        <f>AO182/(1+AP182)</f>
      </c>
      <c r="AR182">
        <f>L182</f>
      </c>
    </row>
    <row r="183">
      <c r="A183" t="str">
        <v>国内</v>
      </c>
      <c r="B183" t="str">
        <v>VA</v>
      </c>
      <c r="C183" t="str">
        <v>照明</v>
      </c>
      <c r="D183" t="str" xml:space="preserve">
        <v> </v>
      </c>
      <c r="E183" t="str" xml:space="preserve">
        <v> </v>
      </c>
      <c r="F183" t="str" xml:space="preserve">
        <v> </v>
      </c>
      <c r="G183" t="str">
        <v>UNIN2305121增补1</v>
      </c>
      <c r="H183">
        <v>20240425</v>
      </c>
      <c r="I183" t="str">
        <v>华南</v>
      </c>
      <c r="J183" t="str">
        <v>广州</v>
      </c>
      <c r="K183" s="124">
        <v>30430</v>
      </c>
      <c r="L183" t="str">
        <v>CNY</v>
      </c>
      <c r="N183" t="str">
        <v>待确认</v>
      </c>
      <c r="P183">
        <f>G183</f>
      </c>
      <c r="Q183" s="125"/>
      <c r="T183">
        <f>B183</f>
      </c>
      <c r="Y183" s="123"/>
      <c r="Z183" s="123"/>
      <c r="AA183" s="123"/>
      <c r="AB183" s="123"/>
      <c r="AC183" s="125"/>
      <c r="AO183">
        <f>K183</f>
      </c>
      <c r="AQ183" s="123">
        <f>AO183/(1+AP183)</f>
      </c>
      <c r="AR183">
        <f>L183</f>
      </c>
    </row>
    <row r="184">
      <c r="A184" t="str">
        <v>国内</v>
      </c>
      <c r="B184" t="str">
        <v>VA</v>
      </c>
      <c r="C184" t="str">
        <v>文创</v>
      </c>
      <c r="D184" t="str" xml:space="preserve">
        <v> </v>
      </c>
      <c r="E184" t="str" xml:space="preserve">
        <v> </v>
      </c>
      <c r="F184" t="str" xml:space="preserve">
        <v> </v>
      </c>
      <c r="G184" t="str">
        <v>OP2024030346</v>
      </c>
      <c r="H184">
        <v>20240424</v>
      </c>
      <c r="I184" t="str">
        <v>华东</v>
      </c>
      <c r="J184" t="str">
        <v>浙江</v>
      </c>
      <c r="K184" s="124">
        <v>240000</v>
      </c>
      <c r="L184" t="str">
        <v>CNY</v>
      </c>
      <c r="N184" t="str">
        <v>待确认</v>
      </c>
      <c r="P184">
        <f>G184</f>
      </c>
      <c r="Q184" s="125"/>
      <c r="T184">
        <f>B184</f>
      </c>
      <c r="Y184" s="123"/>
      <c r="Z184" s="123"/>
      <c r="AA184" s="123"/>
      <c r="AB184" s="123"/>
      <c r="AC184" s="125"/>
      <c r="AO184">
        <f>K184</f>
      </c>
      <c r="AQ184" s="123">
        <f>AO184/(1+AP184)</f>
      </c>
      <c r="AR184">
        <f>L184</f>
      </c>
    </row>
    <row r="185">
      <c r="A185" t="str">
        <v>国内</v>
      </c>
      <c r="B185" t="str">
        <v>VA</v>
      </c>
      <c r="C185" t="str">
        <v>文创</v>
      </c>
      <c r="D185" t="str" xml:space="preserve">
        <v> </v>
      </c>
      <c r="E185" t="str" xml:space="preserve">
        <v> </v>
      </c>
      <c r="F185" t="str" xml:space="preserve">
        <v> </v>
      </c>
      <c r="G185" t="str">
        <v>JW20240412-1923-1</v>
      </c>
      <c r="H185">
        <v>20240424</v>
      </c>
      <c r="I185" t="str">
        <v>华东</v>
      </c>
      <c r="J185" t="str">
        <v>浙江</v>
      </c>
      <c r="K185" s="124">
        <v>669000</v>
      </c>
      <c r="L185" t="str">
        <v>CNY</v>
      </c>
      <c r="N185" t="str">
        <v>待确认</v>
      </c>
      <c r="P185">
        <f>G185</f>
      </c>
      <c r="Q185" s="125"/>
      <c r="T185">
        <f>B185</f>
      </c>
      <c r="Y185" s="123"/>
      <c r="Z185" s="123"/>
      <c r="AA185" s="123"/>
      <c r="AB185" s="123"/>
      <c r="AC185" s="125"/>
      <c r="AO185">
        <f>K185</f>
      </c>
      <c r="AQ185" s="123">
        <f>AO185/(1+AP185)</f>
      </c>
      <c r="AR185">
        <f>L185</f>
      </c>
    </row>
    <row r="186">
      <c r="A186" t="str">
        <v>国内</v>
      </c>
      <c r="B186" t="str">
        <v>VA</v>
      </c>
      <c r="C186" t="str">
        <v>文创</v>
      </c>
      <c r="D186" t="str" xml:space="preserve">
        <v> </v>
      </c>
      <c r="E186" t="str" xml:space="preserve">
        <v> </v>
      </c>
      <c r="F186" t="str" xml:space="preserve">
        <v> </v>
      </c>
      <c r="G186" t="str">
        <v>JW20240412-1923-1</v>
      </c>
      <c r="H186">
        <v>20240424</v>
      </c>
      <c r="I186" t="str">
        <v>华北</v>
      </c>
      <c r="J186" t="str">
        <v>北京</v>
      </c>
      <c r="K186" s="124">
        <v>1561000</v>
      </c>
      <c r="L186" t="str">
        <v>CNY</v>
      </c>
      <c r="N186" t="str">
        <v>待确认</v>
      </c>
      <c r="P186">
        <f>G186</f>
      </c>
      <c r="Q186" s="125"/>
      <c r="T186">
        <f>B186</f>
      </c>
      <c r="Y186" s="123"/>
      <c r="Z186" s="123"/>
      <c r="AA186" s="123"/>
      <c r="AB186" s="123"/>
      <c r="AC186" s="125"/>
      <c r="AO186">
        <f>K186</f>
      </c>
      <c r="AQ186" s="123">
        <f>AO186/(1+AP186)</f>
      </c>
      <c r="AR186">
        <f>L186</f>
      </c>
    </row>
    <row r="187">
      <c r="A187" t="str">
        <v>国内</v>
      </c>
      <c r="B187" t="str">
        <v>VA</v>
      </c>
      <c r="C187" t="str">
        <v>文创</v>
      </c>
      <c r="D187" t="str" xml:space="preserve">
        <v> </v>
      </c>
      <c r="E187" t="str" xml:space="preserve">
        <v> </v>
      </c>
      <c r="F187" t="str" xml:space="preserve">
        <v> </v>
      </c>
      <c r="G187" t="str">
        <v>JW20240412-1923-1</v>
      </c>
      <c r="H187">
        <v>20240424</v>
      </c>
      <c r="I187" t="str">
        <v>华东</v>
      </c>
      <c r="J187" t="str">
        <v>浙江</v>
      </c>
      <c r="K187" s="124">
        <v>669000</v>
      </c>
      <c r="L187" t="str">
        <v>CNY</v>
      </c>
      <c r="N187" t="str">
        <v>待确认</v>
      </c>
      <c r="P187">
        <f>G187</f>
      </c>
      <c r="Q187" s="125"/>
      <c r="T187">
        <f>B187</f>
      </c>
      <c r="Y187" s="123"/>
      <c r="Z187" s="123"/>
      <c r="AA187" s="123"/>
      <c r="AB187" s="123"/>
      <c r="AC187" s="125"/>
      <c r="AO187">
        <f>K187</f>
      </c>
      <c r="AQ187" s="123">
        <f>AO187/(1+AP187)</f>
      </c>
      <c r="AR187">
        <f>L187</f>
      </c>
    </row>
    <row r="188">
      <c r="A188" t="str">
        <v>国内</v>
      </c>
      <c r="B188" t="str">
        <v>VA</v>
      </c>
      <c r="C188" t="str">
        <v>文创</v>
      </c>
      <c r="D188" t="str" xml:space="preserve">
        <v> </v>
      </c>
      <c r="E188" t="str" xml:space="preserve">
        <v> </v>
      </c>
      <c r="F188" t="str" xml:space="preserve">
        <v> </v>
      </c>
      <c r="G188" t="str">
        <v>OP2024030346</v>
      </c>
      <c r="H188">
        <v>20240424</v>
      </c>
      <c r="I188" t="str">
        <v>华东</v>
      </c>
      <c r="J188" t="str">
        <v>浙江</v>
      </c>
      <c r="K188" s="124">
        <v>240000</v>
      </c>
      <c r="L188" t="str">
        <v>CNY</v>
      </c>
      <c r="N188" t="str">
        <v>待确认</v>
      </c>
      <c r="P188">
        <f>G188</f>
      </c>
      <c r="Q188" s="125"/>
      <c r="T188">
        <f>B188</f>
      </c>
      <c r="Y188" s="123"/>
      <c r="Z188" s="123"/>
      <c r="AA188" s="123"/>
      <c r="AB188" s="123"/>
      <c r="AC188" s="125"/>
      <c r="AO188">
        <f>K188</f>
      </c>
      <c r="AQ188" s="123">
        <f>AO188/(1+AP188)</f>
      </c>
      <c r="AR188">
        <f>L188</f>
      </c>
    </row>
    <row r="189">
      <c r="A189" t="str">
        <v>国内</v>
      </c>
      <c r="B189" t="str">
        <v>VA</v>
      </c>
      <c r="C189" t="str">
        <v>文创</v>
      </c>
      <c r="D189" t="str" xml:space="preserve">
        <v> </v>
      </c>
      <c r="E189" t="str" xml:space="preserve">
        <v> </v>
      </c>
      <c r="F189" t="str" xml:space="preserve">
        <v> </v>
      </c>
      <c r="G189" t="str">
        <v>JW20240412-1923-1</v>
      </c>
      <c r="H189">
        <v>20240424</v>
      </c>
      <c r="I189" t="str">
        <v>华北</v>
      </c>
      <c r="J189" t="str">
        <v>北京</v>
      </c>
      <c r="K189" s="124">
        <v>1561000</v>
      </c>
      <c r="L189" t="str">
        <v>CNY</v>
      </c>
      <c r="N189" t="str">
        <v>待确认</v>
      </c>
      <c r="P189">
        <f>G189</f>
      </c>
      <c r="Q189" s="125"/>
      <c r="T189">
        <f>B189</f>
      </c>
      <c r="Y189" s="123"/>
      <c r="Z189" s="123"/>
      <c r="AA189" s="123"/>
      <c r="AB189" s="123"/>
      <c r="AC189" s="125"/>
      <c r="AO189">
        <f>K189</f>
      </c>
      <c r="AQ189" s="123">
        <f>AO189/(1+AP189)</f>
      </c>
      <c r="AR189">
        <f>L189</f>
      </c>
    </row>
    <row r="190">
      <c r="A190" t="str">
        <v>国内</v>
      </c>
      <c r="B190" t="str">
        <v>VA</v>
      </c>
      <c r="C190" t="str">
        <v>照明</v>
      </c>
      <c r="D190" t="str" xml:space="preserve">
        <v> </v>
      </c>
      <c r="E190" t="str" xml:space="preserve">
        <v> </v>
      </c>
      <c r="F190" t="str" xml:space="preserve">
        <v> </v>
      </c>
      <c r="G190" t="str">
        <v>UNIN2404252</v>
      </c>
      <c r="H190">
        <v>20240424</v>
      </c>
      <c r="I190" t="str">
        <v>华东</v>
      </c>
      <c r="J190" t="str">
        <v>浙江</v>
      </c>
      <c r="K190" s="124">
        <v>51220</v>
      </c>
      <c r="L190" t="str">
        <v>CNY</v>
      </c>
      <c r="N190" t="str">
        <v>待确认</v>
      </c>
      <c r="P190">
        <f>G190</f>
      </c>
      <c r="Q190" s="125"/>
      <c r="T190">
        <f>B190</f>
      </c>
      <c r="Y190" s="123"/>
      <c r="Z190" s="123"/>
      <c r="AA190" s="123"/>
      <c r="AB190" s="123"/>
      <c r="AC190" s="125"/>
      <c r="AO190">
        <f>K190</f>
      </c>
      <c r="AQ190" s="123">
        <f>AO190/(1+AP190)</f>
      </c>
      <c r="AR190">
        <f>L190</f>
      </c>
    </row>
    <row r="191">
      <c r="A191" t="str">
        <v>国内</v>
      </c>
      <c r="B191" t="str">
        <v>VA</v>
      </c>
      <c r="C191" t="str">
        <v>照明</v>
      </c>
      <c r="D191" t="str" xml:space="preserve">
        <v> </v>
      </c>
      <c r="E191" t="str" xml:space="preserve">
        <v> </v>
      </c>
      <c r="F191" t="str" xml:space="preserve">
        <v> </v>
      </c>
      <c r="G191" t="str">
        <v>UNIN2404239</v>
      </c>
      <c r="H191">
        <v>20240419</v>
      </c>
      <c r="I191" t="str">
        <v>西南</v>
      </c>
      <c r="J191" t="str">
        <v>重庆</v>
      </c>
      <c r="K191" s="124">
        <v>335514</v>
      </c>
      <c r="L191" t="str">
        <v>CNY</v>
      </c>
      <c r="N191" t="str">
        <v>待确认</v>
      </c>
      <c r="P191">
        <f>G191</f>
      </c>
      <c r="Q191" s="125"/>
      <c r="T191">
        <f>B191</f>
      </c>
      <c r="Y191" s="123"/>
      <c r="Z191" s="123"/>
      <c r="AA191" s="123"/>
      <c r="AB191" s="123"/>
      <c r="AC191" s="125"/>
      <c r="AO191">
        <f>K191</f>
      </c>
      <c r="AQ191" s="123">
        <f>AO191/(1+AP191)</f>
      </c>
      <c r="AR191">
        <f>L191</f>
      </c>
    </row>
    <row r="192">
      <c r="A192" t="str">
        <v>国内</v>
      </c>
      <c r="B192" t="str">
        <v>VA</v>
      </c>
      <c r="C192" t="str">
        <v>照明</v>
      </c>
      <c r="D192" t="str" xml:space="preserve">
        <v> </v>
      </c>
      <c r="E192" t="str" xml:space="preserve">
        <v> </v>
      </c>
      <c r="F192" t="str" xml:space="preserve">
        <v> </v>
      </c>
      <c r="G192" t="str">
        <v>UNIN2404244</v>
      </c>
      <c r="H192">
        <v>20240419</v>
      </c>
      <c r="I192" t="str">
        <v>华南</v>
      </c>
      <c r="J192" t="str">
        <v>广州</v>
      </c>
      <c r="K192" s="124">
        <v>1596</v>
      </c>
      <c r="L192" t="str">
        <v>CNY</v>
      </c>
      <c r="N192" t="str">
        <v>待确认</v>
      </c>
      <c r="P192">
        <f>G192</f>
      </c>
      <c r="Q192" s="125"/>
      <c r="T192">
        <f>B192</f>
      </c>
      <c r="Y192" s="123"/>
      <c r="Z192" s="123"/>
      <c r="AA192" s="123"/>
      <c r="AB192" s="123"/>
      <c r="AC192" s="125"/>
      <c r="AO192">
        <f>K192</f>
      </c>
      <c r="AQ192" s="123">
        <f>AO192/(1+AP192)</f>
      </c>
      <c r="AR192">
        <f>L192</f>
      </c>
    </row>
    <row r="193">
      <c r="A193" t="str">
        <v>国内</v>
      </c>
      <c r="B193" t="str">
        <v>VA</v>
      </c>
      <c r="C193" t="str">
        <v>照明</v>
      </c>
      <c r="D193" t="str" xml:space="preserve">
        <v> </v>
      </c>
      <c r="E193" t="str" xml:space="preserve">
        <v> </v>
      </c>
      <c r="F193" t="str" xml:space="preserve">
        <v> </v>
      </c>
      <c r="G193" t="str">
        <v>UNIN2404240</v>
      </c>
      <c r="H193">
        <v>20240418</v>
      </c>
      <c r="I193" t="str">
        <v>西南</v>
      </c>
      <c r="J193" t="str">
        <v>重庆</v>
      </c>
      <c r="K193" s="124">
        <v>5000</v>
      </c>
      <c r="L193" t="str">
        <v>CNY</v>
      </c>
      <c r="N193" t="str">
        <v>待确认</v>
      </c>
      <c r="P193">
        <f>G193</f>
      </c>
      <c r="Q193" s="125"/>
      <c r="T193">
        <f>B193</f>
      </c>
      <c r="Y193" s="123"/>
      <c r="Z193" s="123"/>
      <c r="AA193" s="123"/>
      <c r="AB193" s="123"/>
      <c r="AC193" s="125"/>
      <c r="AO193">
        <f>K193</f>
      </c>
      <c r="AQ193" s="123">
        <f>AO193/(1+AP193)</f>
      </c>
      <c r="AR193">
        <f>L193</f>
      </c>
    </row>
    <row r="194">
      <c r="A194" t="str">
        <v>国内</v>
      </c>
      <c r="B194" t="str">
        <v>VA</v>
      </c>
      <c r="C194" t="str">
        <v>照明</v>
      </c>
      <c r="D194" t="str" xml:space="preserve">
        <v> </v>
      </c>
      <c r="E194" t="str" xml:space="preserve">
        <v> </v>
      </c>
      <c r="F194" t="str" xml:space="preserve">
        <v> </v>
      </c>
      <c r="G194" t="str">
        <v>UNIN2404243</v>
      </c>
      <c r="H194">
        <v>20240418</v>
      </c>
      <c r="I194" t="str">
        <v>华东</v>
      </c>
      <c r="J194" t="str">
        <v>上海</v>
      </c>
      <c r="K194" s="126">
        <v>2278.44</v>
      </c>
      <c r="L194" t="str">
        <v>CNY</v>
      </c>
      <c r="N194" t="str">
        <v>待确认</v>
      </c>
      <c r="P194">
        <f>G194</f>
      </c>
      <c r="Q194" s="125"/>
      <c r="T194">
        <f>B194</f>
      </c>
      <c r="Y194" s="123"/>
      <c r="Z194" s="123"/>
      <c r="AA194" s="123"/>
      <c r="AB194" s="123"/>
      <c r="AC194" s="125"/>
      <c r="AO194">
        <f>K194</f>
      </c>
      <c r="AQ194" s="123">
        <f>AO194/(1+AP194)</f>
      </c>
      <c r="AR194">
        <f>L194</f>
      </c>
    </row>
    <row r="195">
      <c r="A195" t="str">
        <v>国内</v>
      </c>
      <c r="B195" t="str">
        <v>VA</v>
      </c>
      <c r="C195" t="str">
        <v>文创</v>
      </c>
      <c r="D195" t="str" xml:space="preserve">
        <v> </v>
      </c>
      <c r="E195" t="str" xml:space="preserve">
        <v> </v>
      </c>
      <c r="F195" t="str" xml:space="preserve">
        <v> </v>
      </c>
      <c r="G195" t="str">
        <v>JW20240411-1922</v>
      </c>
      <c r="H195">
        <v>20240417</v>
      </c>
      <c r="I195" t="str">
        <v>华北</v>
      </c>
      <c r="J195" t="str">
        <v>北京</v>
      </c>
      <c r="K195" s="124">
        <v>69377</v>
      </c>
      <c r="L195" t="str">
        <v>CNY</v>
      </c>
      <c r="N195" t="str">
        <v>待确认</v>
      </c>
      <c r="P195">
        <f>G195</f>
      </c>
      <c r="Q195" s="125"/>
      <c r="T195">
        <f>B195</f>
      </c>
      <c r="Y195" s="123"/>
      <c r="Z195" s="123"/>
      <c r="AA195" s="123"/>
      <c r="AB195" s="123"/>
      <c r="AC195" s="125"/>
      <c r="AO195">
        <f>K195</f>
      </c>
      <c r="AQ195" s="123">
        <f>AO195/(1+AP195)</f>
      </c>
      <c r="AR195">
        <f>L195</f>
      </c>
    </row>
    <row r="196">
      <c r="A196" t="str">
        <v>国内</v>
      </c>
      <c r="B196" t="str">
        <v>VA</v>
      </c>
      <c r="C196" t="str">
        <v>文创</v>
      </c>
      <c r="D196" t="str" xml:space="preserve">
        <v> </v>
      </c>
      <c r="E196" t="str" xml:space="preserve">
        <v> </v>
      </c>
      <c r="F196" t="str" xml:space="preserve">
        <v> </v>
      </c>
      <c r="G196" t="str">
        <v>JW20240411-1921</v>
      </c>
      <c r="H196">
        <v>20240417</v>
      </c>
      <c r="I196" t="str">
        <v>华中</v>
      </c>
      <c r="J196" t="str">
        <v>山东</v>
      </c>
      <c r="K196" s="124">
        <v>15780</v>
      </c>
      <c r="L196" t="str">
        <v>CNY</v>
      </c>
      <c r="N196" t="str">
        <v>待确认</v>
      </c>
      <c r="P196">
        <f>G196</f>
      </c>
      <c r="Q196" s="125"/>
      <c r="T196">
        <f>B196</f>
      </c>
      <c r="Y196" s="123"/>
      <c r="Z196" s="123"/>
      <c r="AA196" s="123"/>
      <c r="AB196" s="123"/>
      <c r="AC196" s="125"/>
      <c r="AO196">
        <f>K196</f>
      </c>
      <c r="AQ196" s="123">
        <f>AO196/(1+AP196)</f>
      </c>
      <c r="AR196">
        <f>L196</f>
      </c>
    </row>
    <row r="197">
      <c r="A197" t="str">
        <v>国内</v>
      </c>
      <c r="B197" t="str">
        <v>VA</v>
      </c>
      <c r="C197" t="str">
        <v>文创</v>
      </c>
      <c r="D197" t="str" xml:space="preserve">
        <v> </v>
      </c>
      <c r="E197" t="str" xml:space="preserve">
        <v> </v>
      </c>
      <c r="F197" t="str" xml:space="preserve">
        <v> </v>
      </c>
      <c r="G197" t="str">
        <v>JW20240328-1915</v>
      </c>
      <c r="H197">
        <v>20240417</v>
      </c>
      <c r="I197" t="str">
        <v>华东</v>
      </c>
      <c r="J197" t="str">
        <v>上海</v>
      </c>
      <c r="K197" s="124">
        <v>295870</v>
      </c>
      <c r="L197" t="str">
        <v>CNY</v>
      </c>
      <c r="N197" t="str">
        <v>待确认</v>
      </c>
      <c r="P197">
        <f>G197</f>
      </c>
      <c r="Q197" s="125"/>
      <c r="T197">
        <f>B197</f>
      </c>
      <c r="Y197" s="123"/>
      <c r="Z197" s="123"/>
      <c r="AA197" s="123"/>
      <c r="AB197" s="123"/>
      <c r="AC197" s="125"/>
      <c r="AO197">
        <f>K197</f>
      </c>
      <c r="AQ197" s="123">
        <f>AO197/(1+AP197)</f>
      </c>
      <c r="AR197">
        <f>L197</f>
      </c>
    </row>
    <row r="198">
      <c r="A198" t="str">
        <v>国内</v>
      </c>
      <c r="B198" t="str">
        <v>VA</v>
      </c>
      <c r="C198" t="str">
        <v>文创</v>
      </c>
      <c r="D198" t="str" xml:space="preserve">
        <v> </v>
      </c>
      <c r="E198" t="str" xml:space="preserve">
        <v> </v>
      </c>
      <c r="F198" t="str" xml:space="preserve">
        <v> </v>
      </c>
      <c r="G198" t="str">
        <v>JW20240328-1915</v>
      </c>
      <c r="H198">
        <v>20240417</v>
      </c>
      <c r="I198" t="str">
        <v>华东</v>
      </c>
      <c r="J198" t="str">
        <v>上海</v>
      </c>
      <c r="K198" s="124">
        <v>295870</v>
      </c>
      <c r="L198" t="str">
        <v>CNY</v>
      </c>
      <c r="N198" t="str">
        <v>待确认</v>
      </c>
      <c r="P198">
        <f>G198</f>
      </c>
      <c r="Q198" s="125"/>
      <c r="T198">
        <f>B198</f>
      </c>
      <c r="Y198" s="123"/>
      <c r="Z198" s="123"/>
      <c r="AA198" s="123"/>
      <c r="AB198" s="123"/>
      <c r="AC198" s="125"/>
      <c r="AO198">
        <f>K198</f>
      </c>
      <c r="AQ198" s="123">
        <f>AO198/(1+AP198)</f>
      </c>
      <c r="AR198">
        <f>L198</f>
      </c>
    </row>
    <row r="199">
      <c r="A199" t="str">
        <v>国内</v>
      </c>
      <c r="B199" t="str">
        <v>VA</v>
      </c>
      <c r="C199" t="str">
        <v>文创</v>
      </c>
      <c r="D199" t="str" xml:space="preserve">
        <v> </v>
      </c>
      <c r="E199" t="str" xml:space="preserve">
        <v> </v>
      </c>
      <c r="F199" t="str" xml:space="preserve">
        <v> </v>
      </c>
      <c r="G199" t="str">
        <v>JW20240411-1921</v>
      </c>
      <c r="H199">
        <v>20240417</v>
      </c>
      <c r="I199" t="str">
        <v>华中</v>
      </c>
      <c r="J199" t="str">
        <v>山东</v>
      </c>
      <c r="K199" s="124">
        <v>15780</v>
      </c>
      <c r="L199" t="str">
        <v>CNY</v>
      </c>
      <c r="N199" t="str">
        <v>待确认</v>
      </c>
      <c r="P199">
        <f>G199</f>
      </c>
      <c r="Q199" s="125"/>
      <c r="T199">
        <f>B199</f>
      </c>
      <c r="Y199" s="123"/>
      <c r="Z199" s="123"/>
      <c r="AA199" s="123"/>
      <c r="AB199" s="123"/>
      <c r="AC199" s="125"/>
      <c r="AO199">
        <f>K199</f>
      </c>
      <c r="AQ199" s="123">
        <f>AO199/(1+AP199)</f>
      </c>
      <c r="AR199">
        <f>L199</f>
      </c>
    </row>
    <row r="200">
      <c r="A200" t="str">
        <v>国内</v>
      </c>
      <c r="B200" t="str">
        <v>VA</v>
      </c>
      <c r="C200" t="str">
        <v>文创</v>
      </c>
      <c r="D200" t="str" xml:space="preserve">
        <v> </v>
      </c>
      <c r="E200" t="str" xml:space="preserve">
        <v> </v>
      </c>
      <c r="F200" t="str" xml:space="preserve">
        <v> </v>
      </c>
      <c r="G200" t="str">
        <v>JW20240411-1922</v>
      </c>
      <c r="H200">
        <v>20240417</v>
      </c>
      <c r="I200" t="str">
        <v>华北</v>
      </c>
      <c r="J200" t="str">
        <v>北京</v>
      </c>
      <c r="K200" s="124">
        <v>69377</v>
      </c>
      <c r="L200" t="str">
        <v>CNY</v>
      </c>
      <c r="N200" t="str">
        <v>待确认</v>
      </c>
      <c r="P200">
        <f>G200</f>
      </c>
      <c r="Q200" s="125"/>
      <c r="T200">
        <f>B200</f>
      </c>
      <c r="Y200" s="123"/>
      <c r="Z200" s="123"/>
      <c r="AA200" s="123"/>
      <c r="AB200" s="123"/>
      <c r="AC200" s="125"/>
      <c r="AO200">
        <f>K200</f>
      </c>
      <c r="AQ200" s="123">
        <f>AO200/(1+AP200)</f>
      </c>
      <c r="AR200">
        <f>L200</f>
      </c>
    </row>
    <row r="201">
      <c r="A201" t="str">
        <v>国内</v>
      </c>
      <c r="B201" t="str">
        <v>VA</v>
      </c>
      <c r="C201" t="str">
        <v>照明</v>
      </c>
      <c r="D201" t="str" xml:space="preserve">
        <v> </v>
      </c>
      <c r="E201" t="str" xml:space="preserve">
        <v> </v>
      </c>
      <c r="F201" t="str" xml:space="preserve">
        <v> </v>
      </c>
      <c r="G201" t="str">
        <v>UNIN2404242</v>
      </c>
      <c r="H201">
        <v>20240417</v>
      </c>
      <c r="I201" t="str">
        <v>华北</v>
      </c>
      <c r="J201" t="str">
        <v>山西</v>
      </c>
      <c r="K201" s="124">
        <v>146556</v>
      </c>
      <c r="L201" t="str">
        <v>CNY</v>
      </c>
      <c r="N201" t="str">
        <v>待确认</v>
      </c>
      <c r="P201">
        <f>G201</f>
      </c>
      <c r="Q201" s="125"/>
      <c r="T201">
        <f>B201</f>
      </c>
      <c r="Y201" s="123"/>
      <c r="Z201" s="123"/>
      <c r="AA201" s="123"/>
      <c r="AB201" s="123"/>
      <c r="AC201" s="125"/>
      <c r="AO201">
        <f>K201</f>
      </c>
      <c r="AQ201" s="123">
        <f>AO201/(1+AP201)</f>
      </c>
      <c r="AR201">
        <f>L201</f>
      </c>
    </row>
    <row r="202">
      <c r="A202" t="str">
        <v>国内</v>
      </c>
      <c r="B202" t="str">
        <v>VA</v>
      </c>
      <c r="C202" t="str">
        <v>照明</v>
      </c>
      <c r="D202" t="str" xml:space="preserve">
        <v> </v>
      </c>
      <c r="E202" t="str" xml:space="preserve">
        <v> </v>
      </c>
      <c r="F202" t="str" xml:space="preserve">
        <v> </v>
      </c>
      <c r="G202" t="str">
        <v>UNIN2403217</v>
      </c>
      <c r="H202">
        <v>20240416</v>
      </c>
      <c r="I202" t="str">
        <v>华东</v>
      </c>
      <c r="J202" t="str">
        <v>上海</v>
      </c>
      <c r="K202" s="126">
        <v>47507.36</v>
      </c>
      <c r="L202" t="str">
        <v>CNY</v>
      </c>
      <c r="N202" t="str">
        <v>待确认</v>
      </c>
      <c r="P202">
        <f>G202</f>
      </c>
      <c r="Q202" s="125"/>
      <c r="T202">
        <f>B202</f>
      </c>
      <c r="Y202" s="123"/>
      <c r="Z202" s="123"/>
      <c r="AA202" s="123"/>
      <c r="AB202" s="123"/>
      <c r="AC202" s="125"/>
      <c r="AO202">
        <f>K202</f>
      </c>
      <c r="AQ202" s="123">
        <f>AO202/(1+AP202)</f>
      </c>
      <c r="AR202">
        <f>L202</f>
      </c>
    </row>
    <row r="203">
      <c r="A203" t="str">
        <v>国内</v>
      </c>
      <c r="B203" t="str">
        <v>VA</v>
      </c>
      <c r="C203" t="str">
        <v>照明</v>
      </c>
      <c r="D203" t="str" xml:space="preserve">
        <v> </v>
      </c>
      <c r="E203" t="str" xml:space="preserve">
        <v> </v>
      </c>
      <c r="F203" t="str" xml:space="preserve">
        <v> </v>
      </c>
      <c r="G203" t="str">
        <v>UNIN2403216</v>
      </c>
      <c r="H203">
        <v>20240416</v>
      </c>
      <c r="I203" t="str">
        <v>华东</v>
      </c>
      <c r="J203" t="str">
        <v>上海</v>
      </c>
      <c r="K203" s="126">
        <v>47455.92</v>
      </c>
      <c r="L203" t="str">
        <v>CNY</v>
      </c>
      <c r="N203" t="str">
        <v>待确认</v>
      </c>
      <c r="P203">
        <f>G203</f>
      </c>
      <c r="Q203" s="125"/>
      <c r="T203">
        <f>B203</f>
      </c>
      <c r="Y203" s="123"/>
      <c r="Z203" s="123"/>
      <c r="AA203" s="123"/>
      <c r="AB203" s="123"/>
      <c r="AC203" s="125"/>
      <c r="AO203">
        <f>K203</f>
      </c>
      <c r="AQ203" s="123">
        <f>AO203/(1+AP203)</f>
      </c>
      <c r="AR203">
        <f>L203</f>
      </c>
    </row>
    <row r="204">
      <c r="A204" t="str">
        <v>国内</v>
      </c>
      <c r="B204" t="str">
        <v>VA</v>
      </c>
      <c r="C204" t="str">
        <v>照明</v>
      </c>
      <c r="D204" t="str" xml:space="preserve">
        <v> </v>
      </c>
      <c r="E204" t="str" xml:space="preserve">
        <v> </v>
      </c>
      <c r="F204" t="str" xml:space="preserve">
        <v> </v>
      </c>
      <c r="G204" t="str">
        <v>UNIN2404238</v>
      </c>
      <c r="H204">
        <v>20240412</v>
      </c>
      <c r="I204" t="str">
        <v>华中</v>
      </c>
      <c r="J204" t="str">
        <v>山东</v>
      </c>
      <c r="K204" s="124">
        <v>38276</v>
      </c>
      <c r="L204" t="str">
        <v>CNY</v>
      </c>
      <c r="N204" t="str">
        <v>待确认</v>
      </c>
      <c r="P204">
        <f>G204</f>
      </c>
      <c r="Q204" s="125"/>
      <c r="T204">
        <f>B204</f>
      </c>
      <c r="Y204" s="123"/>
      <c r="Z204" s="123"/>
      <c r="AA204" s="123"/>
      <c r="AB204" s="123"/>
      <c r="AC204" s="125"/>
      <c r="AO204">
        <f>K204</f>
      </c>
      <c r="AQ204" s="123">
        <f>AO204/(1+AP204)</f>
      </c>
      <c r="AR204">
        <f>L204</f>
      </c>
    </row>
    <row r="205">
      <c r="A205" t="str">
        <v>国内</v>
      </c>
      <c r="B205" t="str">
        <v>VA</v>
      </c>
      <c r="C205" t="str">
        <v>照明</v>
      </c>
      <c r="D205" t="str" xml:space="preserve">
        <v> </v>
      </c>
      <c r="E205" t="str" xml:space="preserve">
        <v> </v>
      </c>
      <c r="F205" t="str" xml:space="preserve">
        <v> </v>
      </c>
      <c r="G205" t="str">
        <v>UNIN2404230</v>
      </c>
      <c r="H205">
        <v>20240411</v>
      </c>
      <c r="I205" t="str">
        <v>华南</v>
      </c>
      <c r="J205" t="str">
        <v>福建</v>
      </c>
      <c r="K205" s="124">
        <v>6810</v>
      </c>
      <c r="L205" t="str">
        <v>CNY</v>
      </c>
      <c r="N205" t="str">
        <v>待确认</v>
      </c>
      <c r="P205">
        <f>G205</f>
      </c>
      <c r="Q205" s="125"/>
      <c r="T205">
        <f>B205</f>
      </c>
      <c r="Y205" s="123"/>
      <c r="Z205" s="123"/>
      <c r="AA205" s="123"/>
      <c r="AB205" s="123"/>
      <c r="AC205" s="125"/>
      <c r="AO205">
        <f>K205</f>
      </c>
      <c r="AQ205" s="123">
        <f>AO205/(1+AP205)</f>
      </c>
      <c r="AR205">
        <f>L205</f>
      </c>
    </row>
    <row r="206">
      <c r="A206" t="str">
        <v>国内</v>
      </c>
      <c r="B206" t="str">
        <v>VA</v>
      </c>
      <c r="C206" t="str">
        <v>照明</v>
      </c>
      <c r="D206" t="str" xml:space="preserve">
        <v> </v>
      </c>
      <c r="E206" t="str" xml:space="preserve">
        <v> </v>
      </c>
      <c r="F206" t="str" xml:space="preserve">
        <v> </v>
      </c>
      <c r="G206" t="str">
        <v>UNIN2404236</v>
      </c>
      <c r="H206">
        <v>20240411</v>
      </c>
      <c r="I206" t="str">
        <v>华南</v>
      </c>
      <c r="J206" t="str">
        <v>广州</v>
      </c>
      <c r="K206" s="126">
        <v>215573.1</v>
      </c>
      <c r="L206" t="str">
        <v>CNY</v>
      </c>
      <c r="N206" t="str">
        <v>待确认</v>
      </c>
      <c r="P206">
        <f>G206</f>
      </c>
      <c r="Q206" s="125"/>
      <c r="T206">
        <f>B206</f>
      </c>
      <c r="Y206" s="123"/>
      <c r="Z206" s="123"/>
      <c r="AA206" s="123"/>
      <c r="AB206" s="123"/>
      <c r="AC206" s="125"/>
      <c r="AO206">
        <f>K206</f>
      </c>
      <c r="AQ206" s="123">
        <f>AO206/(1+AP206)</f>
      </c>
      <c r="AR206">
        <f>L206</f>
      </c>
    </row>
    <row r="207">
      <c r="A207" t="str">
        <v>国内</v>
      </c>
      <c r="B207" t="str">
        <v>VA</v>
      </c>
      <c r="C207" t="str">
        <v>照明</v>
      </c>
      <c r="D207" t="str" xml:space="preserve">
        <v> </v>
      </c>
      <c r="E207" t="str" xml:space="preserve">
        <v> </v>
      </c>
      <c r="F207" t="str" xml:space="preserve">
        <v> </v>
      </c>
      <c r="G207" t="str">
        <v>UNIN2404227</v>
      </c>
      <c r="H207">
        <v>20240411</v>
      </c>
      <c r="I207" t="str">
        <v>华中</v>
      </c>
      <c r="J207" t="str">
        <v>山东</v>
      </c>
      <c r="K207" s="124">
        <v>51220</v>
      </c>
      <c r="L207" t="str">
        <v>CNY</v>
      </c>
      <c r="N207" t="str">
        <v>待确认</v>
      </c>
      <c r="P207">
        <f>G207</f>
      </c>
      <c r="Q207" s="125"/>
      <c r="T207">
        <f>B207</f>
      </c>
      <c r="Y207" s="123"/>
      <c r="Z207" s="123"/>
      <c r="AA207" s="123"/>
      <c r="AB207" s="123"/>
      <c r="AC207" s="125"/>
      <c r="AO207">
        <f>K207</f>
      </c>
      <c r="AQ207" s="123">
        <f>AO207/(1+AP207)</f>
      </c>
      <c r="AR207">
        <f>L207</f>
      </c>
    </row>
    <row r="208">
      <c r="A208" t="str">
        <v>国内</v>
      </c>
      <c r="B208" t="str">
        <v>VA</v>
      </c>
      <c r="C208" t="str">
        <v>照明</v>
      </c>
      <c r="D208" t="str" xml:space="preserve">
        <v> </v>
      </c>
      <c r="E208" t="str" xml:space="preserve">
        <v> </v>
      </c>
      <c r="F208" t="str" xml:space="preserve">
        <v> </v>
      </c>
      <c r="G208" t="str">
        <v>UNIN2311364增补1</v>
      </c>
      <c r="H208">
        <v>20240409</v>
      </c>
      <c r="I208" t="str">
        <v>华南</v>
      </c>
      <c r="J208" t="str">
        <v>福建</v>
      </c>
      <c r="K208" s="124">
        <v>8640</v>
      </c>
      <c r="L208" t="str">
        <v>CNY</v>
      </c>
      <c r="N208" t="str">
        <v>待确认</v>
      </c>
      <c r="P208">
        <f>G208</f>
      </c>
      <c r="Q208" s="125"/>
      <c r="T208">
        <f>B208</f>
      </c>
      <c r="Y208" s="123"/>
      <c r="Z208" s="123"/>
      <c r="AA208" s="123"/>
      <c r="AB208" s="123"/>
      <c r="AC208" s="125"/>
      <c r="AO208">
        <f>K208</f>
      </c>
      <c r="AQ208" s="123">
        <f>AO208/(1+AP208)</f>
      </c>
      <c r="AR208">
        <f>L208</f>
      </c>
    </row>
    <row r="209">
      <c r="A209" t="str">
        <v>国内</v>
      </c>
      <c r="B209" t="str">
        <v>VA</v>
      </c>
      <c r="C209" t="str">
        <v>照明</v>
      </c>
      <c r="D209" t="str" xml:space="preserve">
        <v> </v>
      </c>
      <c r="E209" t="str" xml:space="preserve">
        <v> </v>
      </c>
      <c r="F209" t="str" xml:space="preserve">
        <v> </v>
      </c>
      <c r="G209" t="str">
        <v>UNIN2404233</v>
      </c>
      <c r="H209">
        <v>20240409</v>
      </c>
      <c r="I209" t="str">
        <v>华南</v>
      </c>
      <c r="J209" t="str">
        <v>深圳</v>
      </c>
      <c r="K209" s="124">
        <v>82964</v>
      </c>
      <c r="L209" t="str">
        <v>CNY</v>
      </c>
      <c r="N209" t="str">
        <v>待确认</v>
      </c>
      <c r="P209">
        <f>G209</f>
      </c>
      <c r="Q209" s="125"/>
      <c r="T209">
        <f>B209</f>
      </c>
      <c r="Y209" s="123"/>
      <c r="Z209" s="123"/>
      <c r="AA209" s="123"/>
      <c r="AB209" s="123"/>
      <c r="AC209" s="125"/>
      <c r="AO209">
        <f>K209</f>
      </c>
      <c r="AQ209" s="123">
        <f>AO209/(1+AP209)</f>
      </c>
      <c r="AR209">
        <f>L209</f>
      </c>
    </row>
    <row r="210">
      <c r="A210" t="str">
        <v>国内</v>
      </c>
      <c r="B210" t="str">
        <v>VA</v>
      </c>
      <c r="C210" t="str">
        <v>照明</v>
      </c>
      <c r="D210" t="str" xml:space="preserve">
        <v> </v>
      </c>
      <c r="E210" t="str" xml:space="preserve">
        <v> </v>
      </c>
      <c r="F210" t="str" xml:space="preserve">
        <v> </v>
      </c>
      <c r="G210" t="str">
        <v>UNIN2403218</v>
      </c>
      <c r="H210">
        <v>20240408</v>
      </c>
      <c r="I210" t="str">
        <v>华北</v>
      </c>
      <c r="J210" t="str">
        <v>天津</v>
      </c>
      <c r="K210" s="124">
        <v>26360</v>
      </c>
      <c r="L210" t="str">
        <v>CNY</v>
      </c>
      <c r="N210" t="str">
        <v>待确认</v>
      </c>
      <c r="P210">
        <f>G210</f>
      </c>
      <c r="Q210" s="125"/>
      <c r="T210">
        <f>B210</f>
      </c>
      <c r="Y210" s="123"/>
      <c r="Z210" s="123"/>
      <c r="AA210" s="123"/>
      <c r="AB210" s="123"/>
      <c r="AC210" s="125"/>
      <c r="AO210">
        <f>K210</f>
      </c>
      <c r="AQ210" s="123">
        <f>AO210/(1+AP210)</f>
      </c>
      <c r="AR210">
        <f>L210</f>
      </c>
    </row>
    <row r="211">
      <c r="A211" t="str">
        <v>国内</v>
      </c>
      <c r="B211" t="str">
        <v>VA</v>
      </c>
      <c r="C211" t="str">
        <v>照明</v>
      </c>
      <c r="D211" t="str" xml:space="preserve">
        <v> </v>
      </c>
      <c r="E211" t="str" xml:space="preserve">
        <v> </v>
      </c>
      <c r="F211" t="str" xml:space="preserve">
        <v> </v>
      </c>
      <c r="G211" t="str">
        <v>UNIN2403225</v>
      </c>
      <c r="H211">
        <v>20240402</v>
      </c>
      <c r="I211" t="str">
        <v>西南</v>
      </c>
      <c r="J211" t="str">
        <v>四川</v>
      </c>
      <c r="K211" s="124">
        <v>22500</v>
      </c>
      <c r="L211" t="str">
        <v>CNY</v>
      </c>
      <c r="N211" t="str">
        <v>待确认</v>
      </c>
      <c r="P211">
        <f>G211</f>
      </c>
      <c r="Q211" s="125"/>
      <c r="T211">
        <f>B211</f>
      </c>
      <c r="Y211" s="123"/>
      <c r="Z211" s="123"/>
      <c r="AA211" s="123"/>
      <c r="AB211" s="123"/>
      <c r="AC211" s="125"/>
      <c r="AO211">
        <f>K211</f>
      </c>
      <c r="AQ211" s="123">
        <f>AO211/(1+AP211)</f>
      </c>
      <c r="AR211">
        <f>L211</f>
      </c>
    </row>
    <row r="212">
      <c r="A212" t="str">
        <v>国内</v>
      </c>
      <c r="B212" t="str">
        <v>VA</v>
      </c>
      <c r="C212" t="str">
        <v>照明</v>
      </c>
      <c r="D212" t="str" xml:space="preserve">
        <v> </v>
      </c>
      <c r="E212" t="str" xml:space="preserve">
        <v> </v>
      </c>
      <c r="F212" t="str" xml:space="preserve">
        <v> </v>
      </c>
      <c r="G212" t="str">
        <v>UNIN2403224</v>
      </c>
      <c r="H212">
        <v>20240402</v>
      </c>
      <c r="I212" t="str">
        <v>东中</v>
      </c>
      <c r="J212" t="str">
        <v>河南</v>
      </c>
      <c r="K212" s="124">
        <v>6204</v>
      </c>
      <c r="L212" t="str">
        <v>CNY</v>
      </c>
      <c r="N212" t="str">
        <v>待确认</v>
      </c>
      <c r="P212">
        <f>G212</f>
      </c>
      <c r="Q212" s="125"/>
      <c r="T212">
        <f>B212</f>
      </c>
      <c r="Y212" s="123"/>
      <c r="Z212" s="123"/>
      <c r="AA212" s="123"/>
      <c r="AB212" s="123"/>
      <c r="AC212" s="125"/>
      <c r="AO212">
        <f>K212</f>
      </c>
      <c r="AQ212" s="123">
        <f>AO212/(1+AP212)</f>
      </c>
      <c r="AR212">
        <f>L212</f>
      </c>
    </row>
    <row r="213">
      <c r="A213" t="str">
        <v>国内</v>
      </c>
      <c r="B213" t="str">
        <v>VA</v>
      </c>
      <c r="C213" t="str">
        <v>照明</v>
      </c>
      <c r="D213" t="str" xml:space="preserve">
        <v> </v>
      </c>
      <c r="E213" t="str" xml:space="preserve">
        <v> </v>
      </c>
      <c r="F213" t="str" xml:space="preserve">
        <v> </v>
      </c>
      <c r="G213" t="str">
        <v>UNIN2403221</v>
      </c>
      <c r="H213">
        <v>20240402</v>
      </c>
      <c r="I213" t="str">
        <v>西南</v>
      </c>
      <c r="J213" t="str">
        <v>重庆</v>
      </c>
      <c r="K213" s="124">
        <v>25500</v>
      </c>
      <c r="L213" t="str">
        <v>CNY</v>
      </c>
      <c r="N213" t="str">
        <v>待确认</v>
      </c>
      <c r="P213">
        <f>G213</f>
      </c>
      <c r="Q213" s="125"/>
      <c r="T213">
        <f>B213</f>
      </c>
      <c r="Y213" s="123"/>
      <c r="Z213" s="123"/>
      <c r="AA213" s="123"/>
      <c r="AB213" s="123"/>
      <c r="AC213" s="125"/>
      <c r="AO213">
        <f>K213</f>
      </c>
      <c r="AQ213" s="123">
        <f>AO213/(1+AP213)</f>
      </c>
      <c r="AR213">
        <f>L213</f>
      </c>
    </row>
    <row r="214">
      <c r="A214" t="str">
        <v>国内</v>
      </c>
      <c r="B214" t="str">
        <v>VA</v>
      </c>
      <c r="C214" t="str">
        <v>照明</v>
      </c>
      <c r="D214" t="str" xml:space="preserve">
        <v> </v>
      </c>
      <c r="E214" t="str" xml:space="preserve">
        <v> </v>
      </c>
      <c r="F214" t="str" xml:space="preserve">
        <v> </v>
      </c>
      <c r="G214" t="str">
        <v>UNIN2403041</v>
      </c>
      <c r="H214">
        <v>20240401</v>
      </c>
      <c r="I214" t="str">
        <v>华南</v>
      </c>
      <c r="J214" t="str">
        <v>广州</v>
      </c>
      <c r="K214" s="124">
        <v>12750</v>
      </c>
      <c r="L214" t="str">
        <v>CNY</v>
      </c>
      <c r="N214" t="str">
        <v>待确认</v>
      </c>
      <c r="P214">
        <f>G214</f>
      </c>
      <c r="Q214" s="125"/>
      <c r="T214">
        <f>B214</f>
      </c>
      <c r="Y214" s="123"/>
      <c r="Z214" s="123"/>
      <c r="AA214" s="123"/>
      <c r="AB214" s="123"/>
      <c r="AC214" s="125"/>
      <c r="AO214">
        <f>K214</f>
      </c>
      <c r="AQ214" s="123">
        <f>AO214/(1+AP214)</f>
      </c>
      <c r="AR214">
        <f>L214</f>
      </c>
    </row>
    <row r="215">
      <c r="A215" t="str">
        <v>国内</v>
      </c>
      <c r="B215" t="str">
        <v>VA</v>
      </c>
      <c r="C215" t="str">
        <v>照明</v>
      </c>
      <c r="D215" t="str" xml:space="preserve">
        <v> </v>
      </c>
      <c r="E215" t="str" xml:space="preserve">
        <v> </v>
      </c>
      <c r="F215" t="str" xml:space="preserve">
        <v> </v>
      </c>
      <c r="G215" t="str">
        <v>UNIN2403215</v>
      </c>
      <c r="H215">
        <v>20240328</v>
      </c>
      <c r="I215" t="str">
        <v>华东</v>
      </c>
      <c r="J215" t="str">
        <v>浙江</v>
      </c>
      <c r="K215" s="124">
        <v>190220</v>
      </c>
      <c r="L215" t="str">
        <v>CNY</v>
      </c>
      <c r="N215" t="str">
        <v>待确认</v>
      </c>
      <c r="P215">
        <f>G215</f>
      </c>
      <c r="Q215" s="125"/>
      <c r="T215">
        <f>B215</f>
      </c>
      <c r="Y215" s="123"/>
      <c r="Z215" s="123"/>
      <c r="AA215" s="123"/>
      <c r="AB215" s="123"/>
      <c r="AC215" s="125"/>
      <c r="AO215">
        <f>K215</f>
      </c>
      <c r="AQ215" s="123">
        <f>AO215/(1+AP215)</f>
      </c>
      <c r="AR215">
        <f>L215</f>
      </c>
    </row>
    <row r="216">
      <c r="A216" t="str">
        <v>国内</v>
      </c>
      <c r="B216" t="str">
        <v>VA</v>
      </c>
      <c r="C216" t="str">
        <v>照明</v>
      </c>
      <c r="D216" t="str" xml:space="preserve">
        <v> </v>
      </c>
      <c r="E216" t="str" xml:space="preserve">
        <v> </v>
      </c>
      <c r="F216" t="str" xml:space="preserve">
        <v> </v>
      </c>
      <c r="G216" t="str">
        <v>UNIN2403223</v>
      </c>
      <c r="H216">
        <v>20240328</v>
      </c>
      <c r="I216" t="str">
        <v>华南</v>
      </c>
      <c r="J216" t="str">
        <v>深圳</v>
      </c>
      <c r="K216" s="124">
        <v>27250</v>
      </c>
      <c r="L216" t="str">
        <v>CNY</v>
      </c>
      <c r="N216" t="str">
        <v>待确认</v>
      </c>
      <c r="P216">
        <f>G216</f>
      </c>
      <c r="Q216" s="125"/>
      <c r="T216">
        <f>B216</f>
      </c>
      <c r="Y216" s="123"/>
      <c r="Z216" s="123"/>
      <c r="AA216" s="123"/>
      <c r="AB216" s="123"/>
      <c r="AC216" s="125"/>
      <c r="AO216">
        <f>K216</f>
      </c>
      <c r="AQ216" s="123">
        <f>AO216/(1+AP216)</f>
      </c>
      <c r="AR216">
        <f>L216</f>
      </c>
    </row>
    <row r="217">
      <c r="A217" t="str">
        <v>国内</v>
      </c>
      <c r="B217" t="str">
        <v>VA</v>
      </c>
      <c r="C217" t="str">
        <v>文创</v>
      </c>
      <c r="D217" t="str" xml:space="preserve">
        <v> </v>
      </c>
      <c r="E217" t="str" xml:space="preserve">
        <v> </v>
      </c>
      <c r="F217" t="str" xml:space="preserve">
        <v> </v>
      </c>
      <c r="G217" t="str">
        <v>JW20240312-C016</v>
      </c>
      <c r="H217">
        <v>20240327</v>
      </c>
      <c r="I217" t="str">
        <v>华南</v>
      </c>
      <c r="J217" t="str">
        <v>深圳</v>
      </c>
      <c r="K217" s="124">
        <v>41400</v>
      </c>
      <c r="L217" t="str">
        <v>CNY</v>
      </c>
      <c r="N217" t="str">
        <v>待确认</v>
      </c>
      <c r="P217">
        <f>G217</f>
      </c>
      <c r="Q217" s="125"/>
      <c r="T217">
        <f>B217</f>
      </c>
      <c r="Y217" s="123"/>
      <c r="Z217" s="123"/>
      <c r="AA217" s="123"/>
      <c r="AB217" s="123"/>
      <c r="AC217" s="125"/>
      <c r="AO217">
        <f>K217</f>
      </c>
      <c r="AQ217" s="123">
        <f>AO217/(1+AP217)</f>
      </c>
      <c r="AR217">
        <f>L217</f>
      </c>
    </row>
    <row r="218">
      <c r="A218" t="str">
        <v>国内</v>
      </c>
      <c r="B218" t="str">
        <v>VA</v>
      </c>
      <c r="C218" t="str">
        <v>文创</v>
      </c>
      <c r="D218" t="str" xml:space="preserve">
        <v> </v>
      </c>
      <c r="E218" t="str" xml:space="preserve">
        <v> </v>
      </c>
      <c r="F218" t="str" xml:space="preserve">
        <v> </v>
      </c>
      <c r="G218" t="str">
        <v>JW20240322-C017</v>
      </c>
      <c r="H218">
        <v>20240327</v>
      </c>
      <c r="I218" t="str">
        <v>华南</v>
      </c>
      <c r="J218" t="str">
        <v>深圳</v>
      </c>
      <c r="K218" s="126">
        <v>3110.8</v>
      </c>
      <c r="L218" t="str">
        <v>CNY</v>
      </c>
      <c r="N218" t="str">
        <v>待确认</v>
      </c>
      <c r="P218">
        <f>G218</f>
      </c>
      <c r="Q218" s="125"/>
      <c r="T218">
        <f>B218</f>
      </c>
      <c r="Y218" s="123"/>
      <c r="Z218" s="123"/>
      <c r="AA218" s="123"/>
      <c r="AB218" s="123"/>
      <c r="AC218" s="125"/>
      <c r="AO218">
        <f>K218</f>
      </c>
      <c r="AQ218" s="123">
        <f>AO218/(1+AP218)</f>
      </c>
      <c r="AR218">
        <f>L218</f>
      </c>
    </row>
    <row r="219">
      <c r="A219" t="str">
        <v>国内</v>
      </c>
      <c r="B219" t="str">
        <v>VA</v>
      </c>
      <c r="C219" t="str">
        <v>文创</v>
      </c>
      <c r="D219" t="str" xml:space="preserve">
        <v> </v>
      </c>
      <c r="E219" t="str" xml:space="preserve">
        <v> </v>
      </c>
      <c r="F219" t="str" xml:space="preserve">
        <v> </v>
      </c>
      <c r="G219" t="str">
        <v>JW20240322-C018</v>
      </c>
      <c r="H219">
        <v>20240327</v>
      </c>
      <c r="I219" t="str">
        <v>华南</v>
      </c>
      <c r="J219" t="str">
        <v>深圳</v>
      </c>
      <c r="K219" s="124">
        <v>326634</v>
      </c>
      <c r="L219" t="str">
        <v>CNY</v>
      </c>
      <c r="N219" t="str">
        <v>待确认</v>
      </c>
      <c r="P219">
        <f>G219</f>
      </c>
      <c r="Q219" s="125"/>
      <c r="T219">
        <f>B219</f>
      </c>
      <c r="Y219" s="123"/>
      <c r="Z219" s="123"/>
      <c r="AA219" s="123"/>
      <c r="AB219" s="123"/>
      <c r="AC219" s="125"/>
      <c r="AO219">
        <f>K219</f>
      </c>
      <c r="AQ219" s="123">
        <f>AO219/(1+AP219)</f>
      </c>
      <c r="AR219">
        <f>L219</f>
      </c>
    </row>
    <row r="220">
      <c r="A220" t="str">
        <v>国内</v>
      </c>
      <c r="B220" t="str">
        <v>VA</v>
      </c>
      <c r="C220" t="str">
        <v>文创</v>
      </c>
      <c r="D220" t="str" xml:space="preserve">
        <v> </v>
      </c>
      <c r="E220" t="str" xml:space="preserve">
        <v> </v>
      </c>
      <c r="F220" t="str" xml:space="preserve">
        <v> </v>
      </c>
      <c r="G220" t="str">
        <v>JW20240312-C016</v>
      </c>
      <c r="H220">
        <v>20240327</v>
      </c>
      <c r="I220" t="str">
        <v>华南</v>
      </c>
      <c r="J220" t="str">
        <v>深圳</v>
      </c>
      <c r="K220" s="124">
        <v>41400</v>
      </c>
      <c r="L220" t="str">
        <v>CNY</v>
      </c>
      <c r="N220" t="str">
        <v>待确认</v>
      </c>
      <c r="P220">
        <f>G220</f>
      </c>
      <c r="Q220" s="125"/>
      <c r="T220">
        <f>B220</f>
      </c>
      <c r="Y220" s="123"/>
      <c r="Z220" s="123"/>
      <c r="AA220" s="123"/>
      <c r="AB220" s="123"/>
      <c r="AC220" s="125"/>
      <c r="AO220">
        <f>K220</f>
      </c>
      <c r="AQ220" s="123">
        <f>AO220/(1+AP220)</f>
      </c>
      <c r="AR220">
        <f>L220</f>
      </c>
    </row>
    <row r="221">
      <c r="A221" t="str">
        <v>国内</v>
      </c>
      <c r="B221" t="str">
        <v>VA</v>
      </c>
      <c r="C221" t="str">
        <v>文创</v>
      </c>
      <c r="D221" t="str" xml:space="preserve">
        <v> </v>
      </c>
      <c r="E221" t="str" xml:space="preserve">
        <v> </v>
      </c>
      <c r="F221" t="str" xml:space="preserve">
        <v> </v>
      </c>
      <c r="G221" t="str">
        <v>JW20240322-C017</v>
      </c>
      <c r="H221">
        <v>20240327</v>
      </c>
      <c r="I221" t="str">
        <v>华南</v>
      </c>
      <c r="J221" t="str">
        <v>深圳</v>
      </c>
      <c r="K221" s="126">
        <v>3110.8</v>
      </c>
      <c r="L221" t="str">
        <v>CNY</v>
      </c>
      <c r="N221" t="str">
        <v>待确认</v>
      </c>
      <c r="P221">
        <f>G221</f>
      </c>
      <c r="Q221" s="125"/>
      <c r="T221">
        <f>B221</f>
      </c>
      <c r="Y221" s="123"/>
      <c r="Z221" s="123"/>
      <c r="AA221" s="123"/>
      <c r="AB221" s="123"/>
      <c r="AC221" s="125"/>
      <c r="AO221">
        <f>K221</f>
      </c>
      <c r="AQ221" s="123">
        <f>AO221/(1+AP221)</f>
      </c>
      <c r="AR221">
        <f>L221</f>
      </c>
    </row>
    <row r="222">
      <c r="A222" t="str">
        <v>国内</v>
      </c>
      <c r="B222" t="str">
        <v>VA</v>
      </c>
      <c r="C222" t="str">
        <v>文创</v>
      </c>
      <c r="D222" t="str" xml:space="preserve">
        <v> </v>
      </c>
      <c r="E222" t="str" xml:space="preserve">
        <v> </v>
      </c>
      <c r="F222" t="str" xml:space="preserve">
        <v> </v>
      </c>
      <c r="G222" t="str">
        <v>JW20240322-C018</v>
      </c>
      <c r="H222">
        <v>20240327</v>
      </c>
      <c r="I222" t="str">
        <v>华南</v>
      </c>
      <c r="J222" t="str">
        <v>深圳</v>
      </c>
      <c r="K222" s="124">
        <v>326634</v>
      </c>
      <c r="L222" t="str">
        <v>CNY</v>
      </c>
      <c r="N222" t="str">
        <v>待确认</v>
      </c>
      <c r="P222">
        <f>G222</f>
      </c>
      <c r="Q222" s="125"/>
      <c r="T222">
        <f>B222</f>
      </c>
      <c r="Y222" s="123"/>
      <c r="Z222" s="123"/>
      <c r="AA222" s="123"/>
      <c r="AB222" s="123"/>
      <c r="AC222" s="125"/>
      <c r="AO222">
        <f>K222</f>
      </c>
      <c r="AQ222" s="123">
        <f>AO222/(1+AP222)</f>
      </c>
      <c r="AR222">
        <f>L222</f>
      </c>
    </row>
    <row r="223">
      <c r="A223" t="str">
        <v>国内</v>
      </c>
      <c r="B223" t="str">
        <v>VA</v>
      </c>
      <c r="C223" t="str">
        <v>照明</v>
      </c>
      <c r="D223" t="str" xml:space="preserve">
        <v> </v>
      </c>
      <c r="E223" t="str" xml:space="preserve">
        <v> </v>
      </c>
      <c r="F223" t="str" xml:space="preserve">
        <v> </v>
      </c>
      <c r="G223" t="str">
        <v>UNIN2311367增补3</v>
      </c>
      <c r="H223">
        <v>20240325</v>
      </c>
      <c r="I223" t="str">
        <v>西北</v>
      </c>
      <c r="J223" t="str">
        <v>宁夏</v>
      </c>
      <c r="K223" s="124">
        <v>27240</v>
      </c>
      <c r="L223" t="str">
        <v>CNY</v>
      </c>
      <c r="N223" t="str">
        <v>待确认</v>
      </c>
      <c r="P223">
        <f>G223</f>
      </c>
      <c r="Q223" s="125"/>
      <c r="T223">
        <f>B223</f>
      </c>
      <c r="Y223" s="123"/>
      <c r="Z223" s="123"/>
      <c r="AA223" s="123"/>
      <c r="AB223" s="123"/>
      <c r="AC223" s="125"/>
      <c r="AO223">
        <f>K223</f>
      </c>
      <c r="AQ223" s="123">
        <f>AO223/(1+AP223)</f>
      </c>
      <c r="AR223">
        <f>L223</f>
      </c>
    </row>
    <row r="224">
      <c r="A224" t="str">
        <v>国内</v>
      </c>
      <c r="B224" t="str">
        <v>VA</v>
      </c>
      <c r="C224" t="str">
        <v>照明</v>
      </c>
      <c r="D224" t="str" xml:space="preserve">
        <v> </v>
      </c>
      <c r="E224" t="str" xml:space="preserve">
        <v> </v>
      </c>
      <c r="F224" t="str" xml:space="preserve">
        <v> </v>
      </c>
      <c r="G224" t="str">
        <v>UNIN2403211</v>
      </c>
      <c r="H224">
        <v>20240325</v>
      </c>
      <c r="I224" t="str">
        <v>东中</v>
      </c>
      <c r="J224" t="str">
        <v>安徽</v>
      </c>
      <c r="K224" s="124">
        <v>16250</v>
      </c>
      <c r="L224" t="str">
        <v>CNY</v>
      </c>
      <c r="N224" t="str">
        <v>待确认</v>
      </c>
      <c r="P224">
        <f>G224</f>
      </c>
      <c r="Q224" s="125"/>
      <c r="T224">
        <f>B224</f>
      </c>
      <c r="Y224" s="123"/>
      <c r="Z224" s="123"/>
      <c r="AA224" s="123"/>
      <c r="AB224" s="123"/>
      <c r="AC224" s="125"/>
      <c r="AO224">
        <f>K224</f>
      </c>
      <c r="AQ224" s="123">
        <f>AO224/(1+AP224)</f>
      </c>
      <c r="AR224">
        <f>L224</f>
      </c>
    </row>
    <row r="225">
      <c r="A225" t="str">
        <v>国内</v>
      </c>
      <c r="B225" t="str">
        <v>VA</v>
      </c>
      <c r="C225" t="str">
        <v>照明</v>
      </c>
      <c r="D225" t="str" xml:space="preserve">
        <v> </v>
      </c>
      <c r="E225" t="str" xml:space="preserve">
        <v> </v>
      </c>
      <c r="F225" t="str" xml:space="preserve">
        <v> </v>
      </c>
      <c r="G225" t="str">
        <v>UNIN2403219</v>
      </c>
      <c r="H225">
        <v>20240325</v>
      </c>
      <c r="I225" t="str">
        <v>东中</v>
      </c>
      <c r="J225" t="str">
        <v>安徽</v>
      </c>
      <c r="K225" s="124">
        <v>6580</v>
      </c>
      <c r="L225" t="str">
        <v>CNY</v>
      </c>
      <c r="N225" t="str">
        <v>待确认</v>
      </c>
      <c r="P225">
        <f>G225</f>
      </c>
      <c r="Q225" s="125"/>
      <c r="T225">
        <f>B225</f>
      </c>
      <c r="Y225" s="123"/>
      <c r="Z225" s="123"/>
      <c r="AA225" s="123"/>
      <c r="AB225" s="123"/>
      <c r="AC225" s="125"/>
      <c r="AO225">
        <f>K225</f>
      </c>
      <c r="AQ225" s="123">
        <f>AO225/(1+AP225)</f>
      </c>
      <c r="AR225">
        <f>L225</f>
      </c>
    </row>
    <row r="226">
      <c r="A226" t="str">
        <v>国内</v>
      </c>
      <c r="B226" t="str">
        <v>VA</v>
      </c>
      <c r="C226" t="str">
        <v>照明</v>
      </c>
      <c r="D226" t="str" xml:space="preserve">
        <v> </v>
      </c>
      <c r="E226" t="str" xml:space="preserve">
        <v> </v>
      </c>
      <c r="F226" t="str" xml:space="preserve">
        <v> </v>
      </c>
      <c r="G226" t="str">
        <v>UNIN2305124增补7</v>
      </c>
      <c r="H226">
        <v>20240325</v>
      </c>
      <c r="I226" t="str">
        <v>华北</v>
      </c>
      <c r="J226" t="str">
        <v>河北</v>
      </c>
      <c r="K226" s="124">
        <v>64500</v>
      </c>
      <c r="L226" t="str">
        <v>CNY</v>
      </c>
      <c r="N226" t="str">
        <v>待确认</v>
      </c>
      <c r="P226">
        <f>G226</f>
      </c>
      <c r="Q226" s="125"/>
      <c r="T226">
        <f>B226</f>
      </c>
      <c r="Y226" s="123"/>
      <c r="Z226" s="123"/>
      <c r="AA226" s="123"/>
      <c r="AB226" s="123"/>
      <c r="AC226" s="125"/>
      <c r="AO226">
        <f>K226</f>
      </c>
      <c r="AQ226" s="123">
        <f>AO226/(1+AP226)</f>
      </c>
      <c r="AR226">
        <f>L226</f>
      </c>
    </row>
    <row r="227">
      <c r="A227" t="str">
        <v>国内</v>
      </c>
      <c r="B227" t="str">
        <v>VA</v>
      </c>
      <c r="C227" t="str">
        <v>照明</v>
      </c>
      <c r="D227" t="str" xml:space="preserve">
        <v> </v>
      </c>
      <c r="E227" t="str" xml:space="preserve">
        <v> </v>
      </c>
      <c r="F227" t="str" xml:space="preserve">
        <v> </v>
      </c>
      <c r="G227" t="str">
        <v>UNIN2403212</v>
      </c>
      <c r="H227">
        <v>20240321</v>
      </c>
      <c r="I227" t="str">
        <v>华南</v>
      </c>
      <c r="J227" t="str">
        <v>广州</v>
      </c>
      <c r="K227" s="124">
        <v>1990</v>
      </c>
      <c r="L227" t="str">
        <v>CNY</v>
      </c>
      <c r="N227" t="str">
        <v>待确认</v>
      </c>
      <c r="P227">
        <f>G227</f>
      </c>
      <c r="Q227" s="125"/>
      <c r="T227">
        <f>B227</f>
      </c>
      <c r="Y227" s="123"/>
      <c r="Z227" s="123"/>
      <c r="AA227" s="123"/>
      <c r="AB227" s="123"/>
      <c r="AC227" s="125"/>
      <c r="AO227">
        <f>K227</f>
      </c>
      <c r="AQ227" s="123">
        <f>AO227/(1+AP227)</f>
      </c>
      <c r="AR227">
        <f>L227</f>
      </c>
    </row>
    <row r="228">
      <c r="A228" t="str">
        <v>国内</v>
      </c>
      <c r="B228" t="str">
        <v>VA</v>
      </c>
      <c r="C228" t="str">
        <v>照明</v>
      </c>
      <c r="D228" t="str" xml:space="preserve">
        <v> </v>
      </c>
      <c r="E228" t="str" xml:space="preserve">
        <v> </v>
      </c>
      <c r="F228" t="str" xml:space="preserve">
        <v> </v>
      </c>
      <c r="G228" t="str">
        <v>UNIN2403208</v>
      </c>
      <c r="H228">
        <v>20240319</v>
      </c>
      <c r="I228" t="str">
        <v>华东</v>
      </c>
      <c r="J228" t="str">
        <v>江苏</v>
      </c>
      <c r="K228" s="124">
        <v>4875</v>
      </c>
      <c r="L228" t="str">
        <v>CNY</v>
      </c>
      <c r="N228" t="str">
        <v>待确认</v>
      </c>
      <c r="P228">
        <f>G228</f>
      </c>
      <c r="Q228" s="125"/>
      <c r="T228">
        <f>B228</f>
      </c>
      <c r="Y228" s="123"/>
      <c r="Z228" s="123"/>
      <c r="AA228" s="123"/>
      <c r="AB228" s="123"/>
      <c r="AC228" s="125"/>
      <c r="AO228">
        <f>K228</f>
      </c>
      <c r="AQ228" s="123">
        <f>AO228/(1+AP228)</f>
      </c>
      <c r="AR228">
        <f>L228</f>
      </c>
    </row>
    <row r="229">
      <c r="A229" t="str">
        <v>国内</v>
      </c>
      <c r="B229" t="str">
        <v>VA</v>
      </c>
      <c r="C229" t="str">
        <v>照明</v>
      </c>
      <c r="D229" t="str" xml:space="preserve">
        <v> </v>
      </c>
      <c r="E229" t="str" xml:space="preserve">
        <v> </v>
      </c>
      <c r="F229" t="str" xml:space="preserve">
        <v> </v>
      </c>
      <c r="G229" t="str">
        <v>UNI2403210</v>
      </c>
      <c r="H229">
        <v>20240319</v>
      </c>
      <c r="I229" t="str">
        <v>华南</v>
      </c>
      <c r="J229" t="str">
        <v>深圳</v>
      </c>
      <c r="K229" s="124">
        <v>57580</v>
      </c>
      <c r="L229" t="str">
        <v>CNY</v>
      </c>
      <c r="N229" t="str">
        <v>待确认</v>
      </c>
      <c r="P229">
        <f>G229</f>
      </c>
      <c r="Q229" s="125"/>
      <c r="T229">
        <f>B229</f>
      </c>
      <c r="Y229" s="123"/>
      <c r="Z229" s="123"/>
      <c r="AA229" s="123"/>
      <c r="AB229" s="123"/>
      <c r="AC229" s="125"/>
      <c r="AO229">
        <f>K229</f>
      </c>
      <c r="AQ229" s="123">
        <f>AO229/(1+AP229)</f>
      </c>
      <c r="AR229">
        <f>L229</f>
      </c>
    </row>
    <row r="230">
      <c r="A230" t="str">
        <v>国内</v>
      </c>
      <c r="B230" t="str">
        <v>VA</v>
      </c>
      <c r="C230" t="str">
        <v>照明</v>
      </c>
      <c r="D230" t="str" xml:space="preserve">
        <v> </v>
      </c>
      <c r="E230" t="str" xml:space="preserve">
        <v> </v>
      </c>
      <c r="F230" t="str" xml:space="preserve">
        <v> </v>
      </c>
      <c r="G230" t="str">
        <v>UNIN2403207</v>
      </c>
      <c r="H230">
        <v>20240319</v>
      </c>
      <c r="I230" t="str">
        <v>华南</v>
      </c>
      <c r="J230" t="str">
        <v>深圳</v>
      </c>
      <c r="K230" s="124">
        <v>3054709</v>
      </c>
      <c r="L230" t="str">
        <v>CNY</v>
      </c>
      <c r="N230" t="str">
        <v>待确认</v>
      </c>
      <c r="P230">
        <f>G230</f>
      </c>
      <c r="Q230" s="125"/>
      <c r="T230">
        <f>B230</f>
      </c>
      <c r="Y230" s="123"/>
      <c r="Z230" s="123"/>
      <c r="AA230" s="123"/>
      <c r="AB230" s="123"/>
      <c r="AC230" s="125"/>
      <c r="AO230">
        <f>K230</f>
      </c>
      <c r="AQ230" s="123">
        <f>AO230/(1+AP230)</f>
      </c>
      <c r="AR230">
        <f>L230</f>
      </c>
    </row>
    <row r="231">
      <c r="A231" t="str">
        <v>国内</v>
      </c>
      <c r="B231" t="str">
        <v>VA</v>
      </c>
      <c r="C231" t="str">
        <v>照明</v>
      </c>
      <c r="D231" t="str" xml:space="preserve">
        <v> </v>
      </c>
      <c r="E231" t="str" xml:space="preserve">
        <v> </v>
      </c>
      <c r="F231" t="str" xml:space="preserve">
        <v> </v>
      </c>
      <c r="G231" t="str">
        <v>UNIN2403037</v>
      </c>
      <c r="H231">
        <v>20240318</v>
      </c>
      <c r="I231" t="str">
        <v>华南</v>
      </c>
      <c r="J231" t="str">
        <v>广西</v>
      </c>
      <c r="K231" s="124">
        <v>91920</v>
      </c>
      <c r="L231" t="str">
        <v>CNY</v>
      </c>
      <c r="N231" t="str">
        <v>待确认</v>
      </c>
      <c r="P231">
        <f>G231</f>
      </c>
      <c r="Q231" s="125"/>
      <c r="T231">
        <f>B231</f>
      </c>
      <c r="Y231" s="123"/>
      <c r="Z231" s="123"/>
      <c r="AA231" s="123"/>
      <c r="AB231" s="123"/>
      <c r="AC231" s="125"/>
      <c r="AO231">
        <f>K231</f>
      </c>
      <c r="AQ231" s="123">
        <f>AO231/(1+AP231)</f>
      </c>
      <c r="AR231">
        <f>L231</f>
      </c>
    </row>
    <row r="232">
      <c r="A232" t="str">
        <v>国内</v>
      </c>
      <c r="B232" t="str">
        <v>VA</v>
      </c>
      <c r="C232" t="str">
        <v>照明</v>
      </c>
      <c r="D232" t="str" xml:space="preserve">
        <v> </v>
      </c>
      <c r="E232" t="str" xml:space="preserve">
        <v> </v>
      </c>
      <c r="F232" t="str" xml:space="preserve">
        <v> </v>
      </c>
      <c r="G232" t="str">
        <v>UNIN2403043</v>
      </c>
      <c r="H232">
        <v>20240315</v>
      </c>
      <c r="I232" t="str">
        <v>华东</v>
      </c>
      <c r="J232" t="str">
        <v>上海</v>
      </c>
      <c r="K232">
        <v>688.73</v>
      </c>
      <c r="L232" t="str">
        <v>CNY</v>
      </c>
      <c r="N232" t="str">
        <v>待确认</v>
      </c>
      <c r="P232">
        <f>G232</f>
      </c>
      <c r="Q232" s="125"/>
      <c r="T232">
        <f>B232</f>
      </c>
      <c r="Y232" s="123"/>
      <c r="Z232" s="123"/>
      <c r="AA232" s="123"/>
      <c r="AB232" s="123"/>
      <c r="AC232" s="125"/>
      <c r="AO232">
        <f>K232</f>
      </c>
      <c r="AQ232" s="123">
        <f>AO232/(1+AP232)</f>
      </c>
      <c r="AR232">
        <f>L232</f>
      </c>
    </row>
    <row r="233">
      <c r="A233" t="str">
        <v>国内</v>
      </c>
      <c r="B233" t="str">
        <v>VA</v>
      </c>
      <c r="C233" t="str">
        <v>照明</v>
      </c>
      <c r="D233" t="str" xml:space="preserve">
        <v> </v>
      </c>
      <c r="E233" t="str" xml:space="preserve">
        <v> </v>
      </c>
      <c r="F233" t="str" xml:space="preserve">
        <v> </v>
      </c>
      <c r="G233" t="str">
        <v>UNIN2403206</v>
      </c>
      <c r="H233">
        <v>20240315</v>
      </c>
      <c r="I233" t="str">
        <v>华南</v>
      </c>
      <c r="J233" t="str">
        <v>广州</v>
      </c>
      <c r="K233">
        <v>0</v>
      </c>
      <c r="L233" t="str">
        <v>CNY</v>
      </c>
      <c r="N233" t="str">
        <v>待确认</v>
      </c>
      <c r="P233">
        <f>G233</f>
      </c>
      <c r="Q233" s="125"/>
      <c r="T233">
        <f>B233</f>
      </c>
      <c r="Y233" s="123"/>
      <c r="Z233" s="123"/>
      <c r="AA233" s="123"/>
      <c r="AB233" s="123"/>
      <c r="AC233" s="125"/>
      <c r="AO233">
        <f>K233</f>
      </c>
      <c r="AQ233" s="123">
        <f>AO233/(1+AP233)</f>
      </c>
      <c r="AR233">
        <f>L233</f>
      </c>
    </row>
    <row r="234">
      <c r="A234" t="str">
        <v>国内</v>
      </c>
      <c r="B234" t="str">
        <v>VA</v>
      </c>
      <c r="C234" t="str">
        <v>照明</v>
      </c>
      <c r="D234" t="str" xml:space="preserve">
        <v> </v>
      </c>
      <c r="E234" t="str" xml:space="preserve">
        <v> </v>
      </c>
      <c r="F234" t="str" xml:space="preserve">
        <v> </v>
      </c>
      <c r="G234" t="str">
        <v>UNIN2403203</v>
      </c>
      <c r="H234">
        <v>20240315</v>
      </c>
      <c r="I234" t="str">
        <v>华南</v>
      </c>
      <c r="J234" t="str">
        <v>深圳</v>
      </c>
      <c r="K234" s="124">
        <v>5838</v>
      </c>
      <c r="L234" t="str">
        <v>CNY</v>
      </c>
      <c r="N234" t="str">
        <v>待确认</v>
      </c>
      <c r="P234">
        <f>G234</f>
      </c>
      <c r="Q234" s="125"/>
      <c r="T234">
        <f>B234</f>
      </c>
      <c r="Y234" s="123"/>
      <c r="Z234" s="123"/>
      <c r="AA234" s="123"/>
      <c r="AB234" s="123"/>
      <c r="AC234" s="125"/>
      <c r="AO234">
        <f>K234</f>
      </c>
      <c r="AQ234" s="123">
        <f>AO234/(1+AP234)</f>
      </c>
      <c r="AR234">
        <f>L234</f>
      </c>
    </row>
    <row r="235">
      <c r="A235" t="str">
        <v>国内</v>
      </c>
      <c r="B235" t="str">
        <v>VA</v>
      </c>
      <c r="C235" t="str">
        <v>照明</v>
      </c>
      <c r="D235" t="str" xml:space="preserve">
        <v> </v>
      </c>
      <c r="E235" t="str" xml:space="preserve">
        <v> </v>
      </c>
      <c r="F235" t="str" xml:space="preserve">
        <v> </v>
      </c>
      <c r="G235" t="str">
        <v>UNIN2403202</v>
      </c>
      <c r="H235">
        <v>20240314</v>
      </c>
      <c r="I235" t="str">
        <v>华东</v>
      </c>
      <c r="J235" t="str">
        <v>上海</v>
      </c>
      <c r="K235" s="126">
        <v>10241.11</v>
      </c>
      <c r="L235" t="str">
        <v>CNY</v>
      </c>
      <c r="N235" t="str">
        <v>待确认</v>
      </c>
      <c r="P235">
        <f>G235</f>
      </c>
      <c r="Q235" s="125"/>
      <c r="T235">
        <f>B235</f>
      </c>
      <c r="Y235" s="123"/>
      <c r="Z235" s="123"/>
      <c r="AA235" s="123"/>
      <c r="AB235" s="123"/>
      <c r="AC235" s="125"/>
      <c r="AO235">
        <f>K235</f>
      </c>
      <c r="AQ235" s="123">
        <f>AO235/(1+AP235)</f>
      </c>
      <c r="AR235">
        <f>L235</f>
      </c>
    </row>
    <row r="236">
      <c r="A236" t="str">
        <v>国内</v>
      </c>
      <c r="B236" t="str">
        <v>VA</v>
      </c>
      <c r="C236" t="str">
        <v>照明</v>
      </c>
      <c r="D236" t="str" xml:space="preserve">
        <v> </v>
      </c>
      <c r="E236" t="str" xml:space="preserve">
        <v> </v>
      </c>
      <c r="F236" t="str" xml:space="preserve">
        <v> </v>
      </c>
      <c r="G236" t="str">
        <v>UNIN2401006增补1</v>
      </c>
      <c r="H236">
        <v>20240313</v>
      </c>
      <c r="I236" t="str">
        <v>华南</v>
      </c>
      <c r="J236" t="str">
        <v>福建</v>
      </c>
      <c r="K236" s="124">
        <v>17300</v>
      </c>
      <c r="L236" t="str">
        <v>CNY</v>
      </c>
      <c r="N236" t="str">
        <v>待确认</v>
      </c>
      <c r="P236">
        <f>G236</f>
      </c>
      <c r="Q236" s="125"/>
      <c r="T236">
        <f>B236</f>
      </c>
      <c r="Y236" s="123"/>
      <c r="Z236" s="123"/>
      <c r="AA236" s="123"/>
      <c r="AB236" s="123"/>
      <c r="AC236" s="125"/>
      <c r="AO236">
        <f>K236</f>
      </c>
      <c r="AQ236" s="123">
        <f>AO236/(1+AP236)</f>
      </c>
      <c r="AR236">
        <f>L236</f>
      </c>
    </row>
    <row r="237">
      <c r="A237" t="str">
        <v>国内</v>
      </c>
      <c r="B237" t="str">
        <v>VA</v>
      </c>
      <c r="C237" t="str">
        <v>照明</v>
      </c>
      <c r="D237" t="str" xml:space="preserve">
        <v> </v>
      </c>
      <c r="E237" t="str" xml:space="preserve">
        <v> </v>
      </c>
      <c r="F237" t="str" xml:space="preserve">
        <v> </v>
      </c>
      <c r="G237" t="str">
        <v>UNIN2403205</v>
      </c>
      <c r="H237">
        <v>20240313</v>
      </c>
      <c r="I237" t="str">
        <v>华南</v>
      </c>
      <c r="J237" t="str">
        <v>广州</v>
      </c>
      <c r="K237">
        <v>700</v>
      </c>
      <c r="L237" t="str">
        <v>CNY</v>
      </c>
      <c r="N237" t="str">
        <v>待确认</v>
      </c>
      <c r="P237">
        <f>G237</f>
      </c>
      <c r="Q237" s="125"/>
      <c r="T237">
        <f>B237</f>
      </c>
      <c r="Y237" s="123"/>
      <c r="Z237" s="123"/>
      <c r="AA237" s="123"/>
      <c r="AB237" s="123"/>
      <c r="AC237" s="125"/>
      <c r="AO237">
        <f>K237</f>
      </c>
      <c r="AQ237" s="123">
        <f>AO237/(1+AP237)</f>
      </c>
      <c r="AR237">
        <f>L237</f>
      </c>
    </row>
    <row r="238">
      <c r="A238" t="str">
        <v>国内</v>
      </c>
      <c r="B238" t="str">
        <v>VA</v>
      </c>
      <c r="C238" t="str">
        <v>照明</v>
      </c>
      <c r="D238" t="str" xml:space="preserve">
        <v> </v>
      </c>
      <c r="E238" t="str" xml:space="preserve">
        <v> </v>
      </c>
      <c r="F238" t="str" xml:space="preserve">
        <v> </v>
      </c>
      <c r="G238" t="str">
        <v>UNIN2402032</v>
      </c>
      <c r="H238">
        <v>20240312</v>
      </c>
      <c r="I238" t="str">
        <v>华南</v>
      </c>
      <c r="J238" t="str">
        <v>深圳</v>
      </c>
      <c r="K238" s="124">
        <v>113600</v>
      </c>
      <c r="L238" t="str">
        <v>CNY</v>
      </c>
      <c r="N238" t="str">
        <v>待确认</v>
      </c>
      <c r="P238">
        <f>G238</f>
      </c>
      <c r="Q238" s="125"/>
      <c r="T238">
        <f>B238</f>
      </c>
      <c r="Y238" s="123"/>
      <c r="Z238" s="123"/>
      <c r="AA238" s="123"/>
      <c r="AB238" s="123"/>
      <c r="AC238" s="125"/>
      <c r="AO238">
        <f>K238</f>
      </c>
      <c r="AQ238" s="123">
        <f>AO238/(1+AP238)</f>
      </c>
      <c r="AR238">
        <f>L238</f>
      </c>
    </row>
    <row r="239">
      <c r="A239" t="str">
        <v>国内</v>
      </c>
      <c r="B239" t="str">
        <v>VA</v>
      </c>
      <c r="C239" t="str">
        <v>照明</v>
      </c>
      <c r="D239" t="str" xml:space="preserve">
        <v> </v>
      </c>
      <c r="E239" t="str" xml:space="preserve">
        <v> </v>
      </c>
      <c r="F239" t="str" xml:space="preserve">
        <v> </v>
      </c>
      <c r="G239" t="str">
        <v>UNIN2312415</v>
      </c>
      <c r="H239">
        <v>20240312</v>
      </c>
      <c r="I239" t="str">
        <v>华南</v>
      </c>
      <c r="J239" t="str">
        <v>广州</v>
      </c>
      <c r="K239" s="124">
        <v>72450</v>
      </c>
      <c r="L239" t="str">
        <v>CNY</v>
      </c>
      <c r="N239" t="str">
        <v>待确认</v>
      </c>
      <c r="P239">
        <f>G239</f>
      </c>
      <c r="Q239" s="125"/>
      <c r="T239">
        <f>B239</f>
      </c>
      <c r="Y239" s="123"/>
      <c r="Z239" s="123"/>
      <c r="AA239" s="123"/>
      <c r="AB239" s="123"/>
      <c r="AC239" s="125"/>
      <c r="AO239">
        <f>K239</f>
      </c>
      <c r="AQ239" s="123">
        <f>AO239/(1+AP239)</f>
      </c>
      <c r="AR239">
        <f>L239</f>
      </c>
    </row>
    <row r="240">
      <c r="A240" t="str">
        <v>国内</v>
      </c>
      <c r="B240" t="str">
        <v>VA</v>
      </c>
      <c r="C240" t="str">
        <v>照明</v>
      </c>
      <c r="D240" t="str" xml:space="preserve">
        <v> </v>
      </c>
      <c r="E240" t="str" xml:space="preserve">
        <v> </v>
      </c>
      <c r="F240" t="str" xml:space="preserve">
        <v> </v>
      </c>
      <c r="G240" t="str">
        <v>UNIN2401026增补</v>
      </c>
      <c r="H240">
        <v>20240311</v>
      </c>
      <c r="I240" t="str">
        <v>东中</v>
      </c>
      <c r="J240" t="str">
        <v>湖南</v>
      </c>
      <c r="K240" s="124">
        <v>23580</v>
      </c>
      <c r="L240" t="str">
        <v>CNY</v>
      </c>
      <c r="N240" t="str">
        <v>待确认</v>
      </c>
      <c r="P240">
        <f>G240</f>
      </c>
      <c r="Q240" s="125"/>
      <c r="T240">
        <f>B240</f>
      </c>
      <c r="Y240" s="123"/>
      <c r="Z240" s="123"/>
      <c r="AA240" s="123"/>
      <c r="AB240" s="123"/>
      <c r="AC240" s="125"/>
      <c r="AO240">
        <f>K240</f>
      </c>
      <c r="AQ240" s="123">
        <f>AO240/(1+AP240)</f>
      </c>
      <c r="AR240">
        <f>L240</f>
      </c>
    </row>
    <row r="241">
      <c r="A241" t="str">
        <v>国内</v>
      </c>
      <c r="B241" t="str">
        <v>VA</v>
      </c>
      <c r="C241" t="str">
        <v>照明</v>
      </c>
      <c r="D241" t="str" xml:space="preserve">
        <v> </v>
      </c>
      <c r="E241" t="str" xml:space="preserve">
        <v> </v>
      </c>
      <c r="F241" t="str" xml:space="preserve">
        <v> </v>
      </c>
      <c r="G241" t="str">
        <v>UNIN2403044</v>
      </c>
      <c r="H241">
        <v>20240311</v>
      </c>
      <c r="I241" t="str">
        <v>华南</v>
      </c>
      <c r="J241" t="str">
        <v>广西</v>
      </c>
      <c r="K241" s="124">
        <v>135450</v>
      </c>
      <c r="L241" t="str">
        <v>CNY</v>
      </c>
      <c r="N241" t="str">
        <v>待确认</v>
      </c>
      <c r="P241">
        <f>G241</f>
      </c>
      <c r="Q241" s="125"/>
      <c r="T241">
        <f>B241</f>
      </c>
      <c r="Y241" s="123"/>
      <c r="Z241" s="123"/>
      <c r="AA241" s="123"/>
      <c r="AB241" s="123"/>
      <c r="AC241" s="125"/>
      <c r="AO241">
        <f>K241</f>
      </c>
      <c r="AQ241" s="123">
        <f>AO241/(1+AP241)</f>
      </c>
      <c r="AR241">
        <f>L241</f>
      </c>
    </row>
    <row r="242">
      <c r="A242" t="str">
        <v>国内</v>
      </c>
      <c r="B242" t="str">
        <v>VA</v>
      </c>
      <c r="C242" t="str">
        <v>照明</v>
      </c>
      <c r="D242" t="str" xml:space="preserve">
        <v> </v>
      </c>
      <c r="E242" t="str" xml:space="preserve">
        <v> </v>
      </c>
      <c r="F242" t="str" xml:space="preserve">
        <v> </v>
      </c>
      <c r="G242" t="str">
        <v>UNIN2311333增补1</v>
      </c>
      <c r="H242">
        <v>20240308</v>
      </c>
      <c r="I242" t="str">
        <v>西南</v>
      </c>
      <c r="J242" t="str">
        <v>四川</v>
      </c>
      <c r="K242" s="124">
        <v>4080976</v>
      </c>
      <c r="L242" t="str">
        <v>CNY</v>
      </c>
      <c r="N242" t="str">
        <v>待确认</v>
      </c>
      <c r="P242">
        <f>G242</f>
      </c>
      <c r="Q242" s="125"/>
      <c r="T242">
        <f>B242</f>
      </c>
      <c r="Y242" s="123"/>
      <c r="Z242" s="123"/>
      <c r="AA242" s="123"/>
      <c r="AB242" s="123"/>
      <c r="AC242" s="125"/>
      <c r="AO242">
        <f>K242</f>
      </c>
      <c r="AQ242" s="123">
        <f>AO242/(1+AP242)</f>
      </c>
      <c r="AR242">
        <f>L242</f>
      </c>
    </row>
    <row r="243">
      <c r="A243" t="str">
        <v>国内</v>
      </c>
      <c r="B243" t="str">
        <v>VA</v>
      </c>
      <c r="C243" t="str">
        <v>照明</v>
      </c>
      <c r="D243" t="str" xml:space="preserve">
        <v> </v>
      </c>
      <c r="E243" t="str" xml:space="preserve">
        <v> </v>
      </c>
      <c r="F243" t="str" xml:space="preserve">
        <v> </v>
      </c>
      <c r="G243" t="str">
        <v>UNIN2403040</v>
      </c>
      <c r="H243">
        <v>20240307</v>
      </c>
      <c r="I243" t="str">
        <v>华南</v>
      </c>
      <c r="J243" t="str">
        <v>深圳</v>
      </c>
      <c r="K243" s="124">
        <v>648118</v>
      </c>
      <c r="L243" t="str">
        <v>CNY</v>
      </c>
      <c r="N243" t="str">
        <v>待确认</v>
      </c>
      <c r="P243">
        <f>G243</f>
      </c>
      <c r="Q243" s="125"/>
      <c r="T243">
        <f>B243</f>
      </c>
      <c r="Y243" s="123"/>
      <c r="Z243" s="123"/>
      <c r="AA243" s="123"/>
      <c r="AB243" s="123"/>
      <c r="AC243" s="125"/>
      <c r="AO243">
        <f>K243</f>
      </c>
      <c r="AQ243" s="123">
        <f>AO243/(1+AP243)</f>
      </c>
      <c r="AR243">
        <f>L243</f>
      </c>
    </row>
    <row r="244">
      <c r="A244" t="str">
        <v>国内</v>
      </c>
      <c r="B244" t="str">
        <v>VA</v>
      </c>
      <c r="C244" t="str">
        <v>照明</v>
      </c>
      <c r="D244" t="str" xml:space="preserve">
        <v> </v>
      </c>
      <c r="E244" t="str" xml:space="preserve">
        <v> </v>
      </c>
      <c r="F244" t="str" xml:space="preserve">
        <v> </v>
      </c>
      <c r="G244" t="str">
        <v>UNIN2304091增补3</v>
      </c>
      <c r="H244">
        <v>20240306</v>
      </c>
      <c r="I244" t="str">
        <v>西南</v>
      </c>
      <c r="J244" t="str">
        <v>四川</v>
      </c>
      <c r="K244" s="124">
        <v>107920</v>
      </c>
      <c r="L244" t="str">
        <v>CNY</v>
      </c>
      <c r="N244" t="str">
        <v>待确认</v>
      </c>
      <c r="P244">
        <f>G244</f>
      </c>
      <c r="Q244" s="125"/>
      <c r="T244">
        <f>B244</f>
      </c>
      <c r="Y244" s="123"/>
      <c r="Z244" s="123"/>
      <c r="AA244" s="123"/>
      <c r="AB244" s="123"/>
      <c r="AC244" s="125"/>
      <c r="AO244">
        <f>K244</f>
      </c>
      <c r="AQ244" s="123">
        <f>AO244/(1+AP244)</f>
      </c>
      <c r="AR244">
        <f>L244</f>
      </c>
    </row>
    <row r="245">
      <c r="A245" t="str">
        <v>国内</v>
      </c>
      <c r="B245" t="str">
        <v>VA</v>
      </c>
      <c r="C245" t="str">
        <v>照明</v>
      </c>
      <c r="D245" t="str" xml:space="preserve">
        <v> </v>
      </c>
      <c r="E245" t="str" xml:space="preserve">
        <v> </v>
      </c>
      <c r="F245" t="str" xml:space="preserve">
        <v> </v>
      </c>
      <c r="G245" t="str">
        <v>UNIN2401028</v>
      </c>
      <c r="H245">
        <v>20240306</v>
      </c>
      <c r="I245" t="str">
        <v>东中</v>
      </c>
      <c r="J245" t="str">
        <v>安徽</v>
      </c>
      <c r="K245" s="126">
        <v>467529.85</v>
      </c>
      <c r="L245" t="str">
        <v>CNY</v>
      </c>
      <c r="N245" t="str">
        <v>待确认</v>
      </c>
      <c r="P245">
        <f>G245</f>
      </c>
      <c r="Q245" s="125"/>
      <c r="T245">
        <f>B245</f>
      </c>
      <c r="Y245" s="123"/>
      <c r="Z245" s="123"/>
      <c r="AA245" s="123"/>
      <c r="AB245" s="123"/>
      <c r="AC245" s="125"/>
      <c r="AO245">
        <f>K245</f>
      </c>
      <c r="AQ245" s="123">
        <f>AO245/(1+AP245)</f>
      </c>
      <c r="AR245">
        <f>L245</f>
      </c>
    </row>
    <row r="246">
      <c r="A246" t="str">
        <v>国内</v>
      </c>
      <c r="B246" t="str">
        <v>VA</v>
      </c>
      <c r="C246" t="str">
        <v>照明</v>
      </c>
      <c r="D246" t="str" xml:space="preserve">
        <v> </v>
      </c>
      <c r="E246" t="str" xml:space="preserve">
        <v> </v>
      </c>
      <c r="F246" t="str" xml:space="preserve">
        <v> </v>
      </c>
      <c r="G246" t="str">
        <v>UNIN2403038</v>
      </c>
      <c r="H246">
        <v>20240304</v>
      </c>
      <c r="I246" t="str">
        <v>华南</v>
      </c>
      <c r="J246" t="str">
        <v>深圳</v>
      </c>
      <c r="K246" s="124">
        <v>1710</v>
      </c>
      <c r="L246" t="str">
        <v>CNY</v>
      </c>
      <c r="N246" t="str">
        <v>待确认</v>
      </c>
      <c r="P246">
        <f>G246</f>
      </c>
      <c r="Q246" s="125"/>
      <c r="T246">
        <f>B246</f>
      </c>
      <c r="Y246" s="123"/>
      <c r="Z246" s="123"/>
      <c r="AA246" s="123"/>
      <c r="AB246" s="123"/>
      <c r="AC246" s="125"/>
      <c r="AO246">
        <f>K246</f>
      </c>
      <c r="AQ246" s="123">
        <f>AO246/(1+AP246)</f>
      </c>
      <c r="AR246">
        <f>L246</f>
      </c>
    </row>
    <row r="247">
      <c r="A247" t="str">
        <v>国内</v>
      </c>
      <c r="B247" t="str">
        <v>VA</v>
      </c>
      <c r="C247" t="str">
        <v>照明</v>
      </c>
      <c r="D247" t="str" xml:space="preserve">
        <v> </v>
      </c>
      <c r="E247" t="str" xml:space="preserve">
        <v> </v>
      </c>
      <c r="F247" t="str" xml:space="preserve">
        <v> </v>
      </c>
      <c r="G247" t="str">
        <v>UNIN2311363</v>
      </c>
      <c r="H247">
        <v>20240304</v>
      </c>
      <c r="I247" t="str">
        <v>华南</v>
      </c>
      <c r="J247" t="str">
        <v>广西</v>
      </c>
      <c r="K247" s="124">
        <v>3906250</v>
      </c>
      <c r="L247" t="str">
        <v>CNY</v>
      </c>
      <c r="N247" t="str">
        <v>待确认</v>
      </c>
      <c r="P247">
        <f>G247</f>
      </c>
      <c r="Q247" s="125"/>
      <c r="T247">
        <f>B247</f>
      </c>
      <c r="Y247" s="123"/>
      <c r="Z247" s="123"/>
      <c r="AA247" s="123"/>
      <c r="AB247" s="123"/>
      <c r="AC247" s="125"/>
      <c r="AO247">
        <f>K247</f>
      </c>
      <c r="AQ247" s="123">
        <f>AO247/(1+AP247)</f>
      </c>
      <c r="AR247">
        <f>L247</f>
      </c>
    </row>
    <row r="248">
      <c r="A248" t="str">
        <v>国内</v>
      </c>
      <c r="B248" t="str">
        <v>VA</v>
      </c>
      <c r="C248" t="str">
        <v>照明</v>
      </c>
      <c r="D248" t="str" xml:space="preserve">
        <v> </v>
      </c>
      <c r="E248" t="str" xml:space="preserve">
        <v> </v>
      </c>
      <c r="F248" t="str" xml:space="preserve">
        <v> </v>
      </c>
      <c r="G248" t="str">
        <v>UNIN2402201</v>
      </c>
      <c r="H248">
        <v>20240304</v>
      </c>
      <c r="I248" t="str">
        <v>华南</v>
      </c>
      <c r="J248" t="str">
        <v>广州</v>
      </c>
      <c r="K248" s="124">
        <v>4800000</v>
      </c>
      <c r="L248" t="str">
        <v>CNY</v>
      </c>
      <c r="N248" t="str">
        <v>待确认</v>
      </c>
      <c r="P248">
        <f>G248</f>
      </c>
      <c r="Q248" s="125"/>
      <c r="T248">
        <f>B248</f>
      </c>
      <c r="Y248" s="123"/>
      <c r="Z248" s="123"/>
      <c r="AA248" s="123"/>
      <c r="AB248" s="123"/>
      <c r="AC248" s="125"/>
      <c r="AO248">
        <f>K248</f>
      </c>
      <c r="AQ248" s="123">
        <f>AO248/(1+AP248)</f>
      </c>
      <c r="AR248">
        <f>L248</f>
      </c>
    </row>
    <row r="249">
      <c r="A249" t="str">
        <v>国内</v>
      </c>
      <c r="B249" t="str">
        <v>VA</v>
      </c>
      <c r="C249" t="str">
        <v>照明</v>
      </c>
      <c r="D249" t="str" xml:space="preserve">
        <v> </v>
      </c>
      <c r="E249" t="str" xml:space="preserve">
        <v> </v>
      </c>
      <c r="F249" t="str" xml:space="preserve">
        <v> </v>
      </c>
      <c r="G249" t="str">
        <v>UNIN2402034</v>
      </c>
      <c r="H249">
        <v>20240301</v>
      </c>
      <c r="I249" t="str">
        <v>华中</v>
      </c>
      <c r="J249" t="str">
        <v>江西</v>
      </c>
      <c r="K249" s="124">
        <v>191810</v>
      </c>
      <c r="L249" t="str">
        <v>CNY</v>
      </c>
      <c r="N249" t="str">
        <v>待确认</v>
      </c>
      <c r="P249">
        <f>G249</f>
      </c>
      <c r="Q249" s="125"/>
      <c r="T249">
        <f>B249</f>
      </c>
      <c r="Y249" s="123"/>
      <c r="Z249" s="123"/>
      <c r="AA249" s="123"/>
      <c r="AB249" s="123"/>
      <c r="AC249" s="125"/>
      <c r="AO249">
        <f>K249</f>
      </c>
      <c r="AQ249" s="123">
        <f>AO249/(1+AP249)</f>
      </c>
      <c r="AR249">
        <f>L249</f>
      </c>
    </row>
    <row r="250">
      <c r="A250" t="str">
        <v>国内</v>
      </c>
      <c r="B250" t="str">
        <v>VA</v>
      </c>
      <c r="C250" t="str">
        <v>照明</v>
      </c>
      <c r="D250" t="str" xml:space="preserve">
        <v> </v>
      </c>
      <c r="E250" t="str" xml:space="preserve">
        <v> </v>
      </c>
      <c r="F250" t="str" xml:space="preserve">
        <v> </v>
      </c>
      <c r="G250" t="str">
        <v>UNIN2402035　</v>
      </c>
      <c r="H250">
        <v>20240301</v>
      </c>
      <c r="I250" t="str">
        <v>华南</v>
      </c>
      <c r="J250" t="str">
        <v>深圳</v>
      </c>
      <c r="K250" s="124">
        <v>5300</v>
      </c>
      <c r="L250" t="str">
        <v>CNY</v>
      </c>
      <c r="N250" t="str">
        <v>待确认</v>
      </c>
      <c r="P250">
        <f>G250</f>
      </c>
      <c r="Q250" s="125"/>
      <c r="T250">
        <f>B250</f>
      </c>
      <c r="Y250" s="123"/>
      <c r="Z250" s="123"/>
      <c r="AA250" s="123"/>
      <c r="AB250" s="123"/>
      <c r="AC250" s="125"/>
      <c r="AO250">
        <f>K250</f>
      </c>
      <c r="AQ250" s="123">
        <f>AO250/(1+AP250)</f>
      </c>
      <c r="AR250">
        <f>L250</f>
      </c>
    </row>
    <row r="251">
      <c r="A251" t="str">
        <v>国内</v>
      </c>
      <c r="B251" t="str">
        <v>VA</v>
      </c>
      <c r="C251" t="str">
        <v>照明</v>
      </c>
      <c r="D251" t="str" xml:space="preserve">
        <v> </v>
      </c>
      <c r="E251" t="str" xml:space="preserve">
        <v> </v>
      </c>
      <c r="F251" t="str" xml:space="preserve">
        <v> </v>
      </c>
      <c r="G251" t="str">
        <v>UNIN2401029</v>
      </c>
      <c r="H251">
        <v>20240229</v>
      </c>
      <c r="I251" t="str">
        <v>东中</v>
      </c>
      <c r="J251" t="str">
        <v>安徽</v>
      </c>
      <c r="K251" s="126">
        <v>845682.32</v>
      </c>
      <c r="L251" t="str">
        <v>CNY</v>
      </c>
      <c r="N251" t="str">
        <v>待确认</v>
      </c>
      <c r="P251">
        <f>G251</f>
      </c>
      <c r="Q251" s="125"/>
      <c r="T251">
        <f>B251</f>
      </c>
      <c r="Y251" s="123"/>
      <c r="Z251" s="123"/>
      <c r="AA251" s="123"/>
      <c r="AB251" s="123"/>
      <c r="AC251" s="125"/>
      <c r="AO251">
        <f>K251</f>
      </c>
      <c r="AQ251" s="123">
        <f>AO251/(1+AP251)</f>
      </c>
      <c r="AR251">
        <f>L251</f>
      </c>
    </row>
    <row r="252">
      <c r="A252" t="str">
        <v>国内</v>
      </c>
      <c r="B252" t="str">
        <v>VA</v>
      </c>
      <c r="C252" t="str">
        <v>文创</v>
      </c>
      <c r="D252" t="str" xml:space="preserve">
        <v> </v>
      </c>
      <c r="E252" t="str" xml:space="preserve">
        <v> </v>
      </c>
      <c r="F252" t="str" xml:space="preserve">
        <v> </v>
      </c>
      <c r="G252" t="str">
        <v>JW20240222-C015</v>
      </c>
      <c r="H252">
        <v>20240228</v>
      </c>
      <c r="I252" t="str">
        <v>华南</v>
      </c>
      <c r="J252" t="str">
        <v>深圳</v>
      </c>
      <c r="K252" s="124">
        <v>833.25</v>
      </c>
      <c r="L252" t="str">
        <v>CNY</v>
      </c>
      <c r="N252" t="str">
        <v>待确认</v>
      </c>
      <c r="P252">
        <f>G252</f>
      </c>
      <c r="Q252" s="125"/>
      <c r="T252">
        <f>B252</f>
      </c>
      <c r="Y252" s="123"/>
      <c r="Z252" s="123"/>
      <c r="AA252" s="123"/>
      <c r="AB252" s="123"/>
      <c r="AC252" s="125"/>
      <c r="AO252">
        <f>K252</f>
      </c>
      <c r="AQ252" s="123">
        <f>AO252/(1+AP252)</f>
      </c>
      <c r="AR252">
        <f>L252</f>
      </c>
    </row>
    <row r="253">
      <c r="A253" t="str">
        <v>国内</v>
      </c>
      <c r="B253" t="str">
        <v>VA</v>
      </c>
      <c r="C253" t="str">
        <v>文创</v>
      </c>
      <c r="D253" t="str" xml:space="preserve">
        <v> </v>
      </c>
      <c r="E253" t="str" xml:space="preserve">
        <v> </v>
      </c>
      <c r="F253" t="str" xml:space="preserve">
        <v> </v>
      </c>
      <c r="G253" t="str">
        <v>JW20240222-C015</v>
      </c>
      <c r="H253">
        <v>20240228</v>
      </c>
      <c r="I253" t="str">
        <v>华南</v>
      </c>
      <c r="J253" t="str">
        <v>深圳</v>
      </c>
      <c r="K253">
        <v>833.25</v>
      </c>
      <c r="L253" t="str">
        <v>CNY</v>
      </c>
      <c r="N253" t="str">
        <v>待确认</v>
      </c>
      <c r="P253">
        <f>G253</f>
      </c>
      <c r="Q253" s="125"/>
      <c r="T253">
        <f>B253</f>
      </c>
      <c r="Y253" s="123"/>
      <c r="Z253" s="123"/>
      <c r="AA253" s="123"/>
      <c r="AB253" s="123"/>
      <c r="AC253" s="125"/>
      <c r="AO253">
        <f>K253</f>
      </c>
      <c r="AQ253" s="123">
        <f>AO253/(1+AP253)</f>
      </c>
      <c r="AR253">
        <f>L253</f>
      </c>
    </row>
    <row r="254">
      <c r="A254" t="str">
        <v>国内</v>
      </c>
      <c r="B254" t="str">
        <v>VA</v>
      </c>
      <c r="C254" t="str">
        <v>照明</v>
      </c>
      <c r="D254" t="str" xml:space="preserve">
        <v> </v>
      </c>
      <c r="E254" t="str" xml:space="preserve">
        <v> </v>
      </c>
      <c r="F254" t="str" xml:space="preserve">
        <v> </v>
      </c>
      <c r="G254" t="str">
        <v>UNIN2402033</v>
      </c>
      <c r="H254">
        <v>20240228</v>
      </c>
      <c r="I254" t="str">
        <v>东中</v>
      </c>
      <c r="J254" t="str">
        <v>安徽</v>
      </c>
      <c r="K254" s="124">
        <v>451790</v>
      </c>
      <c r="L254" t="str">
        <v>CNY</v>
      </c>
      <c r="N254" t="str">
        <v>待确认</v>
      </c>
      <c r="P254">
        <f>G254</f>
      </c>
      <c r="Q254" s="125"/>
      <c r="T254">
        <f>B254</f>
      </c>
      <c r="Y254" s="123"/>
      <c r="Z254" s="123"/>
      <c r="AA254" s="123"/>
      <c r="AB254" s="123"/>
      <c r="AC254" s="125"/>
      <c r="AO254">
        <f>K254</f>
      </c>
      <c r="AQ254" s="123">
        <f>AO254/(1+AP254)</f>
      </c>
      <c r="AR254">
        <f>L254</f>
      </c>
    </row>
    <row r="255">
      <c r="A255" t="str">
        <v>国内</v>
      </c>
      <c r="B255" t="str">
        <v>VA</v>
      </c>
      <c r="C255" t="str">
        <v>照明</v>
      </c>
      <c r="D255" t="str" xml:space="preserve">
        <v> </v>
      </c>
      <c r="E255" t="str" xml:space="preserve">
        <v> </v>
      </c>
      <c r="F255" t="str" xml:space="preserve">
        <v> </v>
      </c>
      <c r="G255" t="str">
        <v>UNIN2401025</v>
      </c>
      <c r="H255">
        <v>20240227</v>
      </c>
      <c r="I255" t="str">
        <v>华东</v>
      </c>
      <c r="J255" t="str">
        <v>上海</v>
      </c>
      <c r="K255" s="126">
        <v>102574.8</v>
      </c>
      <c r="L255" t="str">
        <v>CNY</v>
      </c>
      <c r="N255" t="str">
        <v>待确认</v>
      </c>
      <c r="P255">
        <f>G255</f>
      </c>
      <c r="Q255" s="125"/>
      <c r="T255">
        <f>B255</f>
      </c>
      <c r="Y255" s="123"/>
      <c r="Z255" s="123"/>
      <c r="AA255" s="123"/>
      <c r="AB255" s="123"/>
      <c r="AC255" s="125"/>
      <c r="AO255">
        <f>K255</f>
      </c>
      <c r="AQ255" s="123">
        <f>AO255/(1+AP255)</f>
      </c>
      <c r="AR255">
        <f>L255</f>
      </c>
    </row>
    <row r="256">
      <c r="A256" t="str">
        <v>国内</v>
      </c>
      <c r="B256" t="str">
        <v>VA</v>
      </c>
      <c r="C256" t="str">
        <v>照明</v>
      </c>
      <c r="D256" t="str" xml:space="preserve">
        <v> </v>
      </c>
      <c r="E256" t="str" xml:space="preserve">
        <v> </v>
      </c>
      <c r="F256" t="str" xml:space="preserve">
        <v> </v>
      </c>
      <c r="G256" t="str">
        <v>UNIN2401030</v>
      </c>
      <c r="H256">
        <v>20240220</v>
      </c>
      <c r="I256" t="str">
        <v>华东</v>
      </c>
      <c r="J256" t="str">
        <v>江苏</v>
      </c>
      <c r="K256" s="124">
        <v>48875</v>
      </c>
      <c r="L256" t="str">
        <v>CNY</v>
      </c>
      <c r="N256" t="str">
        <v>待确认</v>
      </c>
      <c r="P256">
        <f>G256</f>
      </c>
      <c r="Q256" s="125"/>
      <c r="T256">
        <f>B256</f>
      </c>
      <c r="Y256" s="123"/>
      <c r="Z256" s="123"/>
      <c r="AA256" s="123"/>
      <c r="AB256" s="123"/>
      <c r="AC256" s="125"/>
      <c r="AO256">
        <f>K256</f>
      </c>
      <c r="AQ256" s="123">
        <f>AO256/(1+AP256)</f>
      </c>
      <c r="AR256">
        <f>L256</f>
      </c>
    </row>
    <row r="257">
      <c r="A257" t="str">
        <v>国内</v>
      </c>
      <c r="B257" t="str">
        <v>VA</v>
      </c>
      <c r="C257" t="str">
        <v>照明</v>
      </c>
      <c r="D257" t="str" xml:space="preserve">
        <v> </v>
      </c>
      <c r="E257" t="str" xml:space="preserve">
        <v> </v>
      </c>
      <c r="F257" t="str" xml:space="preserve">
        <v> </v>
      </c>
      <c r="G257" t="str">
        <v>UNIN2311348</v>
      </c>
      <c r="H257">
        <v>20240219</v>
      </c>
      <c r="I257" t="str">
        <v>华南</v>
      </c>
      <c r="J257" t="str">
        <v>广西</v>
      </c>
      <c r="K257" s="124">
        <v>2419657</v>
      </c>
      <c r="L257" t="str">
        <v>CNY</v>
      </c>
      <c r="N257" t="str">
        <v>待确认</v>
      </c>
      <c r="P257">
        <f>G257</f>
      </c>
      <c r="Q257" s="125"/>
      <c r="T257">
        <f>B257</f>
      </c>
      <c r="Y257" s="123"/>
      <c r="Z257" s="123"/>
      <c r="AA257" s="123"/>
      <c r="AB257" s="123"/>
      <c r="AC257" s="125"/>
      <c r="AO257">
        <f>K257</f>
      </c>
      <c r="AQ257" s="123">
        <f>AO257/(1+AP257)</f>
      </c>
      <c r="AR257">
        <f>L257</f>
      </c>
    </row>
    <row r="258">
      <c r="A258" t="str">
        <v>国内</v>
      </c>
      <c r="B258" t="str">
        <v>VA</v>
      </c>
      <c r="C258" t="str">
        <v>文创</v>
      </c>
      <c r="D258" t="str" xml:space="preserve">
        <v> </v>
      </c>
      <c r="E258" t="str" xml:space="preserve">
        <v> </v>
      </c>
      <c r="F258" t="str" xml:space="preserve">
        <v> </v>
      </c>
      <c r="G258" t="str">
        <v>JW20240116-1903-增补</v>
      </c>
      <c r="H258">
        <v>20240204</v>
      </c>
      <c r="I258" t="str">
        <v>华南</v>
      </c>
      <c r="J258" t="str">
        <v>广州</v>
      </c>
      <c r="K258" s="124">
        <v>8100</v>
      </c>
      <c r="L258" t="str">
        <v>CNY</v>
      </c>
      <c r="N258" t="str">
        <v>待确认</v>
      </c>
      <c r="P258">
        <f>G258</f>
      </c>
      <c r="Q258" s="125"/>
      <c r="T258">
        <f>B258</f>
      </c>
      <c r="Y258" s="123"/>
      <c r="Z258" s="123"/>
      <c r="AA258" s="123"/>
      <c r="AB258" s="123"/>
      <c r="AC258" s="125"/>
      <c r="AO258">
        <f>K258</f>
      </c>
      <c r="AQ258" s="123">
        <f>AO258/(1+AP258)</f>
      </c>
      <c r="AR258">
        <f>L258</f>
      </c>
    </row>
    <row r="259">
      <c r="A259" t="str">
        <v>国内</v>
      </c>
      <c r="B259" t="str">
        <v>VA</v>
      </c>
      <c r="C259" t="str">
        <v>文创</v>
      </c>
      <c r="D259" t="str" xml:space="preserve">
        <v> </v>
      </c>
      <c r="E259" t="str" xml:space="preserve">
        <v> </v>
      </c>
      <c r="F259" t="str" xml:space="preserve">
        <v> </v>
      </c>
      <c r="G259" t="str">
        <v>OP2023120343</v>
      </c>
      <c r="H259">
        <v>20240204</v>
      </c>
      <c r="I259" t="str">
        <v>华东</v>
      </c>
      <c r="J259" t="str">
        <v>浙江</v>
      </c>
      <c r="K259" s="124">
        <v>1266230</v>
      </c>
      <c r="L259" t="str">
        <v>CNY</v>
      </c>
      <c r="N259" t="str">
        <v>待确认</v>
      </c>
      <c r="P259">
        <f>G259</f>
      </c>
      <c r="Q259" s="125"/>
      <c r="T259">
        <f>B259</f>
      </c>
      <c r="Y259" s="123"/>
      <c r="Z259" s="123"/>
      <c r="AA259" s="123"/>
      <c r="AB259" s="123"/>
      <c r="AC259" s="125"/>
      <c r="AO259">
        <f>K259</f>
      </c>
      <c r="AQ259" s="123">
        <f>AO259/(1+AP259)</f>
      </c>
      <c r="AR259">
        <f>L259</f>
      </c>
    </row>
    <row r="260">
      <c r="A260" t="str">
        <v>国内</v>
      </c>
      <c r="B260" t="str">
        <v>VA</v>
      </c>
      <c r="C260" t="str">
        <v>文创</v>
      </c>
      <c r="D260" t="str" xml:space="preserve">
        <v> </v>
      </c>
      <c r="E260" t="str" xml:space="preserve">
        <v> </v>
      </c>
      <c r="F260" t="str" xml:space="preserve">
        <v> </v>
      </c>
      <c r="G260" t="str">
        <v>OP2023120342</v>
      </c>
      <c r="H260">
        <v>20240204</v>
      </c>
      <c r="I260" t="str">
        <v>华东</v>
      </c>
      <c r="J260" t="str">
        <v>浙江</v>
      </c>
      <c r="K260" s="124">
        <v>3647000</v>
      </c>
      <c r="L260" t="str">
        <v>CNY</v>
      </c>
      <c r="N260" t="str">
        <v>待确认</v>
      </c>
      <c r="P260">
        <f>G260</f>
      </c>
      <c r="Q260" s="125"/>
      <c r="T260">
        <f>B260</f>
      </c>
      <c r="Y260" s="123"/>
      <c r="Z260" s="123"/>
      <c r="AA260" s="123"/>
      <c r="AB260" s="123"/>
      <c r="AC260" s="125"/>
      <c r="AO260">
        <f>K260</f>
      </c>
      <c r="AQ260" s="123">
        <f>AO260/(1+AP260)</f>
      </c>
      <c r="AR260">
        <f>L260</f>
      </c>
    </row>
    <row r="261">
      <c r="A261" t="str">
        <v>国内</v>
      </c>
      <c r="B261" t="str">
        <v>VA</v>
      </c>
      <c r="C261" t="str">
        <v>文创</v>
      </c>
      <c r="D261" t="str" xml:space="preserve">
        <v> </v>
      </c>
      <c r="E261" t="str" xml:space="preserve">
        <v> </v>
      </c>
      <c r="F261" t="str" xml:space="preserve">
        <v> </v>
      </c>
      <c r="G261" t="str">
        <v>JW20240129-1904</v>
      </c>
      <c r="H261">
        <v>20240204</v>
      </c>
      <c r="I261" t="str">
        <v>华北</v>
      </c>
      <c r="J261" t="str">
        <v>内蒙</v>
      </c>
      <c r="K261" s="126">
        <v>69618.6</v>
      </c>
      <c r="L261" t="str">
        <v>CNY</v>
      </c>
      <c r="N261" t="str">
        <v>待确认</v>
      </c>
      <c r="P261">
        <f>G261</f>
      </c>
      <c r="Q261" s="125"/>
      <c r="T261">
        <f>B261</f>
      </c>
      <c r="Y261" s="123"/>
      <c r="Z261" s="123"/>
      <c r="AA261" s="123"/>
      <c r="AB261" s="123"/>
      <c r="AC261" s="125"/>
      <c r="AO261">
        <f>K261</f>
      </c>
      <c r="AQ261" s="123">
        <f>AO261/(1+AP261)</f>
      </c>
      <c r="AR261">
        <f>L261</f>
      </c>
    </row>
    <row r="262">
      <c r="A262" t="str">
        <v>国内</v>
      </c>
      <c r="B262" t="str">
        <v>VA</v>
      </c>
      <c r="C262" t="str">
        <v>文创</v>
      </c>
      <c r="D262" t="str" xml:space="preserve">
        <v> </v>
      </c>
      <c r="E262" t="str" xml:space="preserve">
        <v> </v>
      </c>
      <c r="F262" t="str" xml:space="preserve">
        <v> </v>
      </c>
      <c r="G262" t="str">
        <v>OP2023120343-增补</v>
      </c>
      <c r="H262">
        <v>20240204</v>
      </c>
      <c r="I262" t="str">
        <v>华东</v>
      </c>
      <c r="J262" t="str">
        <v>浙江</v>
      </c>
      <c r="K262" s="124">
        <v>329300</v>
      </c>
      <c r="L262" t="str">
        <v>CNY</v>
      </c>
      <c r="N262" t="str">
        <v>待确认</v>
      </c>
      <c r="P262">
        <f>G262</f>
      </c>
      <c r="Q262" s="125"/>
      <c r="T262">
        <f>B262</f>
      </c>
      <c r="Y262" s="123"/>
      <c r="Z262" s="123"/>
      <c r="AA262" s="123"/>
      <c r="AB262" s="123"/>
      <c r="AC262" s="125"/>
      <c r="AO262">
        <f>K262</f>
      </c>
      <c r="AQ262" s="123">
        <f>AO262/(1+AP262)</f>
      </c>
      <c r="AR262">
        <f>L262</f>
      </c>
    </row>
    <row r="263">
      <c r="A263" t="str">
        <v>国内</v>
      </c>
      <c r="B263" t="str">
        <v>VA</v>
      </c>
      <c r="C263" t="str">
        <v>文创</v>
      </c>
      <c r="D263" t="str" xml:space="preserve">
        <v> </v>
      </c>
      <c r="E263" t="str" xml:space="preserve">
        <v> </v>
      </c>
      <c r="F263" t="str" xml:space="preserve">
        <v> </v>
      </c>
      <c r="G263" t="str">
        <v>JW20240129-1904</v>
      </c>
      <c r="H263">
        <v>20240204</v>
      </c>
      <c r="I263" t="str">
        <v>华北</v>
      </c>
      <c r="J263" t="str">
        <v>北京</v>
      </c>
      <c r="K263" s="126">
        <v>162443.4</v>
      </c>
      <c r="L263" t="str">
        <v>CNY</v>
      </c>
      <c r="N263" t="str">
        <v>待确认</v>
      </c>
      <c r="P263">
        <f>G263</f>
      </c>
      <c r="Q263" s="125"/>
      <c r="T263">
        <f>B263</f>
      </c>
      <c r="Y263" s="123"/>
      <c r="Z263" s="123"/>
      <c r="AA263" s="123"/>
      <c r="AB263" s="123"/>
      <c r="AC263" s="125"/>
      <c r="AO263">
        <f>K263</f>
      </c>
      <c r="AQ263" s="123">
        <f>AO263/(1+AP263)</f>
      </c>
      <c r="AR263">
        <f>L263</f>
      </c>
    </row>
    <row r="264">
      <c r="A264" t="str">
        <v>国内</v>
      </c>
      <c r="B264" t="str">
        <v>VA</v>
      </c>
      <c r="C264" t="str">
        <v>文创</v>
      </c>
      <c r="D264" t="str" xml:space="preserve">
        <v> </v>
      </c>
      <c r="E264" t="str" xml:space="preserve">
        <v> </v>
      </c>
      <c r="F264" t="str" xml:space="preserve">
        <v> </v>
      </c>
      <c r="G264" t="str">
        <v>JW20240129-1904</v>
      </c>
      <c r="H264">
        <v>20240204</v>
      </c>
      <c r="I264" t="str">
        <v>华北</v>
      </c>
      <c r="J264" t="str">
        <v>内蒙</v>
      </c>
      <c r="K264" s="126">
        <v>69618.6</v>
      </c>
      <c r="L264" t="str">
        <v>CNY</v>
      </c>
      <c r="N264" t="str">
        <v>待确认</v>
      </c>
      <c r="P264">
        <f>G264</f>
      </c>
      <c r="Q264" s="125"/>
      <c r="T264">
        <f>B264</f>
      </c>
      <c r="Y264" s="123"/>
      <c r="Z264" s="123"/>
      <c r="AA264" s="123"/>
      <c r="AB264" s="123"/>
      <c r="AC264" s="125"/>
      <c r="AO264">
        <f>K264</f>
      </c>
      <c r="AQ264" s="123">
        <f>AO264/(1+AP264)</f>
      </c>
      <c r="AR264">
        <f>L264</f>
      </c>
    </row>
    <row r="265">
      <c r="A265" t="str">
        <v>国内</v>
      </c>
      <c r="B265" t="str">
        <v>VA</v>
      </c>
      <c r="C265" t="str">
        <v>文创</v>
      </c>
      <c r="D265" t="str" xml:space="preserve">
        <v> </v>
      </c>
      <c r="E265" t="str" xml:space="preserve">
        <v> </v>
      </c>
      <c r="F265" t="str" xml:space="preserve">
        <v> </v>
      </c>
      <c r="G265" t="str">
        <v>OP2023120342</v>
      </c>
      <c r="H265">
        <v>20240204</v>
      </c>
      <c r="I265" t="str">
        <v>华东</v>
      </c>
      <c r="J265" t="str">
        <v>浙江</v>
      </c>
      <c r="K265" s="124">
        <v>3647000</v>
      </c>
      <c r="L265" t="str">
        <v>CNY</v>
      </c>
      <c r="N265" t="str">
        <v>待确认</v>
      </c>
      <c r="P265">
        <f>G265</f>
      </c>
      <c r="Q265" s="125"/>
      <c r="T265">
        <f>B265</f>
      </c>
      <c r="Y265" s="123"/>
      <c r="Z265" s="123"/>
      <c r="AA265" s="123"/>
      <c r="AB265" s="123"/>
      <c r="AC265" s="125"/>
      <c r="AO265">
        <f>K265</f>
      </c>
      <c r="AQ265" s="123">
        <f>AO265/(1+AP265)</f>
      </c>
      <c r="AR265">
        <f>L265</f>
      </c>
    </row>
    <row r="266">
      <c r="A266" t="str">
        <v>国内</v>
      </c>
      <c r="B266" t="str">
        <v>VA</v>
      </c>
      <c r="C266" t="str">
        <v>文创</v>
      </c>
      <c r="D266" t="str" xml:space="preserve">
        <v> </v>
      </c>
      <c r="E266" t="str" xml:space="preserve">
        <v> </v>
      </c>
      <c r="F266" t="str" xml:space="preserve">
        <v> </v>
      </c>
      <c r="G266" t="str">
        <v>JW20240129-1904</v>
      </c>
      <c r="H266">
        <v>20240204</v>
      </c>
      <c r="I266" t="str">
        <v>华北</v>
      </c>
      <c r="J266" t="str">
        <v>北京</v>
      </c>
      <c r="K266" s="126">
        <v>162443.4</v>
      </c>
      <c r="L266" t="str">
        <v>CNY</v>
      </c>
      <c r="N266" t="str">
        <v>待确认</v>
      </c>
      <c r="P266">
        <f>G266</f>
      </c>
      <c r="Q266" s="125"/>
      <c r="T266">
        <f>B266</f>
      </c>
      <c r="Y266" s="123"/>
      <c r="Z266" s="123"/>
      <c r="AA266" s="123"/>
      <c r="AB266" s="123"/>
      <c r="AC266" s="125"/>
      <c r="AO266">
        <f>K266</f>
      </c>
      <c r="AQ266" s="123">
        <f>AO266/(1+AP266)</f>
      </c>
      <c r="AR266">
        <f>L266</f>
      </c>
    </row>
    <row r="267">
      <c r="A267" t="str">
        <v>国内</v>
      </c>
      <c r="B267" t="str">
        <v>VA</v>
      </c>
      <c r="C267" t="str">
        <v>文创</v>
      </c>
      <c r="D267" t="str" xml:space="preserve">
        <v> </v>
      </c>
      <c r="E267" t="str" xml:space="preserve">
        <v> </v>
      </c>
      <c r="F267" t="str" xml:space="preserve">
        <v> </v>
      </c>
      <c r="G267" t="str">
        <v>OP2023120343-增补</v>
      </c>
      <c r="H267">
        <v>20240204</v>
      </c>
      <c r="I267" t="str">
        <v>华东</v>
      </c>
      <c r="J267" t="str">
        <v>浙江</v>
      </c>
      <c r="K267" s="124">
        <v>329300</v>
      </c>
      <c r="L267" t="str">
        <v>CNY</v>
      </c>
      <c r="N267" t="str">
        <v>待确认</v>
      </c>
      <c r="P267">
        <f>G267</f>
      </c>
      <c r="Q267" s="125"/>
      <c r="T267">
        <f>B267</f>
      </c>
      <c r="Y267" s="123"/>
      <c r="Z267" s="123"/>
      <c r="AA267" s="123"/>
      <c r="AB267" s="123"/>
      <c r="AC267" s="125"/>
      <c r="AO267">
        <f>K267</f>
      </c>
      <c r="AQ267" s="123">
        <f>AO267/(1+AP267)</f>
      </c>
      <c r="AR267">
        <f>L267</f>
      </c>
    </row>
    <row r="268">
      <c r="A268" t="str">
        <v>国内</v>
      </c>
      <c r="B268" t="str">
        <v>VA</v>
      </c>
      <c r="C268" t="str">
        <v>文创</v>
      </c>
      <c r="D268" t="str" xml:space="preserve">
        <v> </v>
      </c>
      <c r="E268" t="str" xml:space="preserve">
        <v> </v>
      </c>
      <c r="F268" t="str" xml:space="preserve">
        <v> </v>
      </c>
      <c r="G268" t="str">
        <v>JW20240116-1903-增补</v>
      </c>
      <c r="H268">
        <v>20240204</v>
      </c>
      <c r="I268" t="str">
        <v>华南</v>
      </c>
      <c r="J268" t="str">
        <v>广州</v>
      </c>
      <c r="K268" s="124">
        <v>8100</v>
      </c>
      <c r="L268" t="str">
        <v>CNY</v>
      </c>
      <c r="N268" t="str">
        <v>待确认</v>
      </c>
      <c r="P268">
        <f>G268</f>
      </c>
      <c r="Q268" s="125"/>
      <c r="T268">
        <f>B268</f>
      </c>
      <c r="Y268" s="123"/>
      <c r="Z268" s="123"/>
      <c r="AA268" s="123"/>
      <c r="AB268" s="123"/>
      <c r="AC268" s="125"/>
      <c r="AO268">
        <f>K268</f>
      </c>
      <c r="AQ268" s="123">
        <f>AO268/(1+AP268)</f>
      </c>
      <c r="AR268">
        <f>L268</f>
      </c>
    </row>
    <row r="269">
      <c r="A269" t="str">
        <v>国内</v>
      </c>
      <c r="B269" t="str">
        <v>VA</v>
      </c>
      <c r="C269" t="str">
        <v>文创</v>
      </c>
      <c r="D269" t="str" xml:space="preserve">
        <v> </v>
      </c>
      <c r="E269" t="str" xml:space="preserve">
        <v> </v>
      </c>
      <c r="F269" t="str" xml:space="preserve">
        <v> </v>
      </c>
      <c r="G269" t="str">
        <v>OP2023120343</v>
      </c>
      <c r="H269">
        <v>20240204</v>
      </c>
      <c r="I269" t="str">
        <v>华东</v>
      </c>
      <c r="J269" t="str">
        <v>浙江</v>
      </c>
      <c r="K269" s="124">
        <v>1266230</v>
      </c>
      <c r="L269" t="str">
        <v>CNY</v>
      </c>
      <c r="N269" t="str">
        <v>待确认</v>
      </c>
      <c r="P269">
        <f>G269</f>
      </c>
      <c r="Q269" s="125"/>
      <c r="T269">
        <f>B269</f>
      </c>
      <c r="Y269" s="123"/>
      <c r="Z269" s="123"/>
      <c r="AA269" s="123"/>
      <c r="AB269" s="123"/>
      <c r="AC269" s="125"/>
      <c r="AO269">
        <f>K269</f>
      </c>
      <c r="AQ269" s="123">
        <f>AO269/(1+AP269)</f>
      </c>
      <c r="AR269">
        <f>L269</f>
      </c>
    </row>
    <row r="270">
      <c r="A270" t="str">
        <v>国内</v>
      </c>
      <c r="B270" t="str">
        <v>VA</v>
      </c>
      <c r="C270" t="str">
        <v>照明</v>
      </c>
      <c r="D270" t="str" xml:space="preserve">
        <v> </v>
      </c>
      <c r="E270" t="str" xml:space="preserve">
        <v> </v>
      </c>
      <c r="F270" t="str" xml:space="preserve">
        <v> </v>
      </c>
      <c r="G270" t="str">
        <v>UNIN2310314增补</v>
      </c>
      <c r="H270">
        <v>20240201</v>
      </c>
      <c r="I270" t="str">
        <v>华南</v>
      </c>
      <c r="J270" t="str">
        <v>深圳</v>
      </c>
      <c r="K270" s="124">
        <v>38675</v>
      </c>
      <c r="L270" t="str">
        <v>CNY</v>
      </c>
      <c r="N270" t="str">
        <v>待确认</v>
      </c>
      <c r="P270">
        <f>G270</f>
      </c>
      <c r="Q270" s="125"/>
      <c r="T270">
        <f>B270</f>
      </c>
      <c r="Y270" s="123"/>
      <c r="Z270" s="123"/>
      <c r="AA270" s="123"/>
      <c r="AB270" s="123"/>
      <c r="AC270" s="125"/>
      <c r="AO270">
        <f>K270</f>
      </c>
      <c r="AQ270" s="123">
        <f>AO270/(1+AP270)</f>
      </c>
      <c r="AR270">
        <f>L270</f>
      </c>
    </row>
    <row r="271">
      <c r="A271" t="str">
        <v>国内</v>
      </c>
      <c r="B271" t="str">
        <v>VA</v>
      </c>
      <c r="C271" t="str">
        <v>照明</v>
      </c>
      <c r="D271" t="str" xml:space="preserve">
        <v> </v>
      </c>
      <c r="E271" t="str" xml:space="preserve">
        <v> </v>
      </c>
      <c r="F271" t="str" xml:space="preserve">
        <v> </v>
      </c>
      <c r="G271" t="str">
        <v>UNIN2401027</v>
      </c>
      <c r="H271">
        <v>20240130</v>
      </c>
      <c r="I271" t="str">
        <v>华北</v>
      </c>
      <c r="J271" t="str">
        <v>山西</v>
      </c>
      <c r="K271" s="124">
        <v>112600</v>
      </c>
      <c r="L271" t="str">
        <v>CNY</v>
      </c>
      <c r="N271" t="str">
        <v>待确认</v>
      </c>
      <c r="P271">
        <f>G271</f>
      </c>
      <c r="Q271" s="125"/>
      <c r="T271">
        <f>B271</f>
      </c>
      <c r="Y271" s="123"/>
      <c r="Z271" s="123"/>
      <c r="AA271" s="123"/>
      <c r="AB271" s="123"/>
      <c r="AC271" s="125"/>
      <c r="AO271">
        <f>K271</f>
      </c>
      <c r="AQ271" s="123">
        <f>AO271/(1+AP271)</f>
      </c>
      <c r="AR271">
        <f>L271</f>
      </c>
    </row>
    <row r="272">
      <c r="A272" t="str">
        <v>国内</v>
      </c>
      <c r="B272" t="str">
        <v>VA</v>
      </c>
      <c r="C272" t="str">
        <v>照明</v>
      </c>
      <c r="D272" t="str" xml:space="preserve">
        <v> </v>
      </c>
      <c r="E272" t="str" xml:space="preserve">
        <v> </v>
      </c>
      <c r="F272" t="str" xml:space="preserve">
        <v> </v>
      </c>
      <c r="G272" t="str">
        <v>UNIN2401013</v>
      </c>
      <c r="H272">
        <v>20240130</v>
      </c>
      <c r="I272" t="str">
        <v>华南</v>
      </c>
      <c r="J272" t="str">
        <v>深圳</v>
      </c>
      <c r="K272" s="124">
        <v>208400</v>
      </c>
      <c r="L272" t="str">
        <v>CNY</v>
      </c>
      <c r="N272" t="str">
        <v>待确认</v>
      </c>
      <c r="P272">
        <f>G272</f>
      </c>
      <c r="Q272" s="125"/>
      <c r="T272">
        <f>B272</f>
      </c>
      <c r="Y272" s="123"/>
      <c r="Z272" s="123"/>
      <c r="AA272" s="123"/>
      <c r="AB272" s="123"/>
      <c r="AC272" s="125"/>
      <c r="AO272">
        <f>K272</f>
      </c>
      <c r="AQ272" s="123">
        <f>AO272/(1+AP272)</f>
      </c>
      <c r="AR272">
        <f>L272</f>
      </c>
    </row>
    <row r="273">
      <c r="A273" t="str">
        <v>国内</v>
      </c>
      <c r="B273" t="str">
        <v>VA</v>
      </c>
      <c r="C273" t="str">
        <v>文创</v>
      </c>
      <c r="D273" t="str" xml:space="preserve">
        <v> </v>
      </c>
      <c r="E273" t="str" xml:space="preserve">
        <v> </v>
      </c>
      <c r="F273" t="str" xml:space="preserve">
        <v> </v>
      </c>
      <c r="G273" t="str">
        <v>JW20240112-C013</v>
      </c>
      <c r="H273">
        <v>20240129</v>
      </c>
      <c r="I273" t="str">
        <v>华南</v>
      </c>
      <c r="J273" t="str">
        <v>深圳</v>
      </c>
      <c r="K273" s="124">
        <v>84822</v>
      </c>
      <c r="L273" t="str">
        <v>CNY</v>
      </c>
      <c r="N273" t="str">
        <v>待确认</v>
      </c>
      <c r="P273">
        <f>G273</f>
      </c>
      <c r="Q273" s="125"/>
      <c r="T273">
        <f>B273</f>
      </c>
      <c r="Y273" s="123"/>
      <c r="Z273" s="123"/>
      <c r="AA273" s="123"/>
      <c r="AB273" s="123"/>
      <c r="AC273" s="125"/>
      <c r="AO273">
        <f>K273</f>
      </c>
      <c r="AQ273" s="123">
        <f>AO273/(1+AP273)</f>
      </c>
      <c r="AR273">
        <f>L273</f>
      </c>
    </row>
    <row r="274">
      <c r="A274" t="str">
        <v>国内</v>
      </c>
      <c r="B274" t="str">
        <v>VA</v>
      </c>
      <c r="C274" t="str">
        <v>文创</v>
      </c>
      <c r="D274" t="str" xml:space="preserve">
        <v> </v>
      </c>
      <c r="E274" t="str" xml:space="preserve">
        <v> </v>
      </c>
      <c r="F274" t="str" xml:space="preserve">
        <v> </v>
      </c>
      <c r="G274" t="str">
        <v>JW20231215-1890-2</v>
      </c>
      <c r="H274">
        <v>20240129</v>
      </c>
      <c r="I274" t="str">
        <v>西南</v>
      </c>
      <c r="J274" t="str">
        <v>四川</v>
      </c>
      <c r="K274" s="124">
        <v>16670000</v>
      </c>
      <c r="L274" t="str">
        <v>CNY</v>
      </c>
      <c r="N274" t="str">
        <v>待确认</v>
      </c>
      <c r="P274">
        <f>G274</f>
      </c>
      <c r="Q274" s="125"/>
      <c r="T274">
        <f>B274</f>
      </c>
      <c r="Y274" s="123"/>
      <c r="Z274" s="123"/>
      <c r="AA274" s="123"/>
      <c r="AB274" s="123"/>
      <c r="AC274" s="125"/>
      <c r="AO274">
        <f>K274</f>
      </c>
      <c r="AQ274" s="123">
        <f>AO274/(1+AP274)</f>
      </c>
      <c r="AR274">
        <f>L274</f>
      </c>
    </row>
    <row r="275">
      <c r="A275" t="str">
        <v>国内</v>
      </c>
      <c r="B275" t="str">
        <v>VA</v>
      </c>
      <c r="C275" t="str">
        <v>文创</v>
      </c>
      <c r="D275" t="str" xml:space="preserve">
        <v> </v>
      </c>
      <c r="E275" t="str" xml:space="preserve">
        <v> </v>
      </c>
      <c r="F275" t="str" xml:space="preserve">
        <v> </v>
      </c>
      <c r="G275" t="str">
        <v>JW20240122-C014</v>
      </c>
      <c r="H275">
        <v>20240129</v>
      </c>
      <c r="I275" t="str">
        <v>华南</v>
      </c>
      <c r="J275" t="str">
        <v>深圳</v>
      </c>
      <c r="K275" s="126">
        <v>242642.4</v>
      </c>
      <c r="L275" t="str">
        <v>CNY</v>
      </c>
      <c r="N275" t="str">
        <v>待确认</v>
      </c>
      <c r="P275">
        <f>G275</f>
      </c>
      <c r="Q275" s="125"/>
      <c r="T275">
        <f>B275</f>
      </c>
      <c r="Y275" s="123"/>
      <c r="Z275" s="123"/>
      <c r="AA275" s="123"/>
      <c r="AB275" s="123"/>
      <c r="AC275" s="125"/>
      <c r="AO275">
        <f>K275</f>
      </c>
      <c r="AQ275" s="123">
        <f>AO275/(1+AP275)</f>
      </c>
      <c r="AR275">
        <f>L275</f>
      </c>
    </row>
    <row r="276">
      <c r="A276" t="str">
        <v>国内</v>
      </c>
      <c r="B276" t="str">
        <v>VA</v>
      </c>
      <c r="C276" t="str">
        <v>文创</v>
      </c>
      <c r="D276" t="str" xml:space="preserve">
        <v> </v>
      </c>
      <c r="E276" t="str" xml:space="preserve">
        <v> </v>
      </c>
      <c r="F276" t="str" xml:space="preserve">
        <v> </v>
      </c>
      <c r="G276" t="str">
        <v>JW20231215-1890-2</v>
      </c>
      <c r="H276">
        <v>20240129</v>
      </c>
      <c r="I276" t="str">
        <v>西南</v>
      </c>
      <c r="J276" t="str">
        <v>四川</v>
      </c>
      <c r="K276" s="124">
        <v>16670000</v>
      </c>
      <c r="L276" t="str">
        <v>CNY</v>
      </c>
      <c r="N276" t="str">
        <v>待确认</v>
      </c>
      <c r="P276">
        <f>G276</f>
      </c>
      <c r="Q276" s="125"/>
      <c r="T276">
        <f>B276</f>
      </c>
      <c r="Y276" s="123"/>
      <c r="Z276" s="123"/>
      <c r="AA276" s="123"/>
      <c r="AB276" s="123"/>
      <c r="AC276" s="125"/>
      <c r="AO276">
        <f>K276</f>
      </c>
      <c r="AQ276" s="123">
        <f>AO276/(1+AP276)</f>
      </c>
      <c r="AR276">
        <f>L276</f>
      </c>
    </row>
    <row r="277">
      <c r="A277" t="str">
        <v>国内</v>
      </c>
      <c r="B277" t="str">
        <v>VA</v>
      </c>
      <c r="C277" t="str">
        <v>文创</v>
      </c>
      <c r="D277" t="str" xml:space="preserve">
        <v> </v>
      </c>
      <c r="E277" t="str" xml:space="preserve">
        <v> </v>
      </c>
      <c r="F277" t="str" xml:space="preserve">
        <v> </v>
      </c>
      <c r="G277" t="str">
        <v>JW20240112-C013</v>
      </c>
      <c r="H277">
        <v>20240129</v>
      </c>
      <c r="I277" t="str">
        <v>华南</v>
      </c>
      <c r="J277" t="str">
        <v>深圳</v>
      </c>
      <c r="K277" s="124">
        <v>84822</v>
      </c>
      <c r="L277" t="str">
        <v>CNY</v>
      </c>
      <c r="N277" t="str">
        <v>待确认</v>
      </c>
      <c r="P277">
        <f>G277</f>
      </c>
      <c r="Q277" s="125"/>
      <c r="T277">
        <f>B277</f>
      </c>
      <c r="Y277" s="123"/>
      <c r="Z277" s="123"/>
      <c r="AA277" s="123"/>
      <c r="AB277" s="123"/>
      <c r="AC277" s="125"/>
      <c r="AO277">
        <f>K277</f>
      </c>
      <c r="AQ277" s="123">
        <f>AO277/(1+AP277)</f>
      </c>
      <c r="AR277">
        <f>L277</f>
      </c>
    </row>
    <row r="278">
      <c r="A278" t="str">
        <v>国内</v>
      </c>
      <c r="B278" t="str">
        <v>VA</v>
      </c>
      <c r="C278" t="str">
        <v>文创</v>
      </c>
      <c r="D278" t="str" xml:space="preserve">
        <v> </v>
      </c>
      <c r="E278" t="str" xml:space="preserve">
        <v> </v>
      </c>
      <c r="F278" t="str" xml:space="preserve">
        <v> </v>
      </c>
      <c r="G278" t="str">
        <v>JW20240122-C014</v>
      </c>
      <c r="H278">
        <v>20240129</v>
      </c>
      <c r="I278" t="str">
        <v>华南</v>
      </c>
      <c r="J278" t="str">
        <v>深圳</v>
      </c>
      <c r="K278" s="126">
        <v>242642.4</v>
      </c>
      <c r="L278" t="str">
        <v>CNY</v>
      </c>
      <c r="N278" t="str">
        <v>待确认</v>
      </c>
      <c r="P278">
        <f>G278</f>
      </c>
      <c r="Q278" s="125"/>
      <c r="T278">
        <f>B278</f>
      </c>
      <c r="Y278" s="123"/>
      <c r="Z278" s="123"/>
      <c r="AA278" s="123"/>
      <c r="AB278" s="123"/>
      <c r="AC278" s="125"/>
      <c r="AO278">
        <f>K278</f>
      </c>
      <c r="AQ278" s="123">
        <f>AO278/(1+AP278)</f>
      </c>
      <c r="AR278">
        <f>L278</f>
      </c>
    </row>
    <row r="279">
      <c r="A279" t="str">
        <v>国内</v>
      </c>
      <c r="B279" t="str">
        <v>VA</v>
      </c>
      <c r="C279" t="str">
        <v>照明</v>
      </c>
      <c r="D279" t="str" xml:space="preserve">
        <v> </v>
      </c>
      <c r="E279" t="str" xml:space="preserve">
        <v> </v>
      </c>
      <c r="F279" t="str" xml:space="preserve">
        <v> </v>
      </c>
      <c r="G279" t="str">
        <v>UNIN2312410　</v>
      </c>
      <c r="H279">
        <v>20240126</v>
      </c>
      <c r="I279" t="str">
        <v>西南</v>
      </c>
      <c r="J279" t="str">
        <v>贵州</v>
      </c>
      <c r="K279" s="126">
        <v>799281.3</v>
      </c>
      <c r="L279" t="str">
        <v>CNY</v>
      </c>
      <c r="N279" t="str">
        <v>待确认</v>
      </c>
      <c r="P279">
        <f>G279</f>
      </c>
      <c r="Q279" s="125"/>
      <c r="T279">
        <f>B279</f>
      </c>
      <c r="Y279" s="123"/>
      <c r="Z279" s="123"/>
      <c r="AA279" s="123"/>
      <c r="AB279" s="123"/>
      <c r="AC279" s="125"/>
      <c r="AO279">
        <f>K279</f>
      </c>
      <c r="AQ279" s="123">
        <f>AO279/(1+AP279)</f>
      </c>
      <c r="AR279">
        <f>L279</f>
      </c>
    </row>
    <row r="280">
      <c r="A280" t="str">
        <v>国内</v>
      </c>
      <c r="B280" t="str">
        <v>VA</v>
      </c>
      <c r="C280" t="str">
        <v>照明</v>
      </c>
      <c r="D280" t="str" xml:space="preserve">
        <v> </v>
      </c>
      <c r="E280" t="str" xml:space="preserve">
        <v> </v>
      </c>
      <c r="F280" t="str" xml:space="preserve">
        <v> </v>
      </c>
      <c r="G280" t="str">
        <v>UNIN2312410　</v>
      </c>
      <c r="H280">
        <v>20240126</v>
      </c>
      <c r="I280" t="str">
        <v>西南</v>
      </c>
      <c r="J280" t="str">
        <v>重庆</v>
      </c>
      <c r="K280" s="126">
        <v>1864989.7</v>
      </c>
      <c r="L280" t="str">
        <v>CNY</v>
      </c>
      <c r="N280" t="str">
        <v>待确认</v>
      </c>
      <c r="P280">
        <f>G280</f>
      </c>
      <c r="Q280" s="125"/>
      <c r="T280">
        <f>B280</f>
      </c>
      <c r="Y280" s="123"/>
      <c r="Z280" s="123"/>
      <c r="AA280" s="123"/>
      <c r="AB280" s="123"/>
      <c r="AC280" s="125"/>
      <c r="AO280">
        <f>K280</f>
      </c>
      <c r="AQ280" s="123">
        <f>AO280/(1+AP280)</f>
      </c>
      <c r="AR280">
        <f>L280</f>
      </c>
    </row>
    <row r="281">
      <c r="A281" t="str">
        <v>国内</v>
      </c>
      <c r="B281" t="str">
        <v>VA</v>
      </c>
      <c r="C281" t="str">
        <v>照明</v>
      </c>
      <c r="D281" t="str" xml:space="preserve">
        <v> </v>
      </c>
      <c r="E281" t="str" xml:space="preserve">
        <v> </v>
      </c>
      <c r="F281" t="str" xml:space="preserve">
        <v> </v>
      </c>
      <c r="G281" t="str">
        <v>UNIN2401020</v>
      </c>
      <c r="H281">
        <v>20240126</v>
      </c>
      <c r="I281" t="str">
        <v>西南</v>
      </c>
      <c r="J281" t="str">
        <v>贵州</v>
      </c>
      <c r="K281" s="124">
        <v>341006</v>
      </c>
      <c r="L281" t="str">
        <v>CNY</v>
      </c>
      <c r="N281" t="str">
        <v>待确认</v>
      </c>
      <c r="P281">
        <f>G281</f>
      </c>
      <c r="Q281" s="125"/>
      <c r="T281">
        <f>B281</f>
      </c>
      <c r="Y281" s="123"/>
      <c r="Z281" s="123"/>
      <c r="AA281" s="123"/>
      <c r="AB281" s="123"/>
      <c r="AC281" s="125"/>
      <c r="AO281">
        <f>K281</f>
      </c>
      <c r="AQ281" s="123">
        <f>AO281/(1+AP281)</f>
      </c>
      <c r="AR281">
        <f>L281</f>
      </c>
    </row>
    <row r="282">
      <c r="A282" t="str">
        <v>国内</v>
      </c>
      <c r="B282" t="str">
        <v>VA</v>
      </c>
      <c r="C282" t="str">
        <v>文创</v>
      </c>
      <c r="D282" t="str" xml:space="preserve">
        <v> </v>
      </c>
      <c r="E282" t="str" xml:space="preserve">
        <v> </v>
      </c>
      <c r="F282" t="str" xml:space="preserve">
        <v> </v>
      </c>
      <c r="G282" t="str">
        <v>JW20240116-1903</v>
      </c>
      <c r="H282">
        <v>20240125</v>
      </c>
      <c r="I282" t="str">
        <v>华南</v>
      </c>
      <c r="J282" t="str">
        <v>广州</v>
      </c>
      <c r="K282" s="124">
        <v>55920</v>
      </c>
      <c r="L282" t="str">
        <v>CNY</v>
      </c>
      <c r="N282" t="str">
        <v>待确认</v>
      </c>
      <c r="P282">
        <f>G282</f>
      </c>
      <c r="Q282" s="125"/>
      <c r="T282">
        <f>B282</f>
      </c>
      <c r="Y282" s="123"/>
      <c r="Z282" s="123"/>
      <c r="AA282" s="123"/>
      <c r="AB282" s="123"/>
      <c r="AC282" s="125"/>
      <c r="AO282">
        <f>K282</f>
      </c>
      <c r="AQ282" s="123">
        <f>AO282/(1+AP282)</f>
      </c>
      <c r="AR282">
        <f>L282</f>
      </c>
    </row>
    <row r="283">
      <c r="A283" t="str">
        <v>国内</v>
      </c>
      <c r="B283" t="str">
        <v>VA</v>
      </c>
      <c r="C283" t="str">
        <v>文创</v>
      </c>
      <c r="D283" t="str" xml:space="preserve">
        <v> </v>
      </c>
      <c r="E283" t="str" xml:space="preserve">
        <v> </v>
      </c>
      <c r="F283" t="str" xml:space="preserve">
        <v> </v>
      </c>
      <c r="G283" t="str">
        <v>JW20240116-1903</v>
      </c>
      <c r="H283">
        <v>20240125</v>
      </c>
      <c r="I283" t="str">
        <v>华南</v>
      </c>
      <c r="J283" t="str">
        <v>广州</v>
      </c>
      <c r="K283" s="124">
        <v>55920</v>
      </c>
      <c r="L283" t="str">
        <v>CNY</v>
      </c>
      <c r="N283" t="str">
        <v>待确认</v>
      </c>
      <c r="P283">
        <f>G283</f>
      </c>
      <c r="Q283" s="125"/>
      <c r="T283">
        <f>B283</f>
      </c>
      <c r="Y283" s="123"/>
      <c r="Z283" s="123"/>
      <c r="AA283" s="123"/>
      <c r="AB283" s="123"/>
      <c r="AC283" s="125"/>
      <c r="AO283">
        <f>K283</f>
      </c>
      <c r="AQ283" s="123">
        <f>AO283/(1+AP283)</f>
      </c>
      <c r="AR283">
        <f>L283</f>
      </c>
    </row>
    <row r="284">
      <c r="A284" t="str">
        <v>国内</v>
      </c>
      <c r="B284" t="str">
        <v>VA</v>
      </c>
      <c r="C284" t="str">
        <v>照明</v>
      </c>
      <c r="D284" t="str" xml:space="preserve">
        <v> </v>
      </c>
      <c r="E284" t="str" xml:space="preserve">
        <v> </v>
      </c>
      <c r="F284" t="str" xml:space="preserve">
        <v> </v>
      </c>
      <c r="G284" t="str">
        <v>UNIN2312405</v>
      </c>
      <c r="H284">
        <v>20240124</v>
      </c>
      <c r="I284" t="str">
        <v>华中</v>
      </c>
      <c r="J284" t="str">
        <v>山东</v>
      </c>
      <c r="K284" s="124">
        <v>1951100</v>
      </c>
      <c r="L284" t="str">
        <v>CNY</v>
      </c>
      <c r="N284" t="str">
        <v>待确认</v>
      </c>
      <c r="P284">
        <f>G284</f>
      </c>
      <c r="Q284" s="125"/>
      <c r="T284">
        <f>B284</f>
      </c>
      <c r="Y284" s="123"/>
      <c r="Z284" s="123"/>
      <c r="AA284" s="123"/>
      <c r="AB284" s="123"/>
      <c r="AC284" s="125"/>
      <c r="AO284">
        <f>K284</f>
      </c>
      <c r="AQ284" s="123">
        <f>AO284/(1+AP284)</f>
      </c>
      <c r="AR284">
        <f>L284</f>
      </c>
    </row>
    <row r="285">
      <c r="A285" t="str">
        <v>国内</v>
      </c>
      <c r="B285" t="str">
        <v>VA</v>
      </c>
      <c r="C285" t="str">
        <v>照明</v>
      </c>
      <c r="D285" t="str" xml:space="preserve">
        <v> </v>
      </c>
      <c r="E285" t="str" xml:space="preserve">
        <v> </v>
      </c>
      <c r="F285" t="str" xml:space="preserve">
        <v> </v>
      </c>
      <c r="G285" t="str">
        <v>UNIN2310319增补3</v>
      </c>
      <c r="H285">
        <v>20240123</v>
      </c>
      <c r="I285" t="str">
        <v>华东</v>
      </c>
      <c r="J285" t="str">
        <v>江苏</v>
      </c>
      <c r="K285" s="124">
        <v>13650</v>
      </c>
      <c r="L285" t="str">
        <v>CNY</v>
      </c>
      <c r="N285" t="str">
        <v>待确认</v>
      </c>
      <c r="P285">
        <f>G285</f>
      </c>
      <c r="Q285" s="125"/>
      <c r="T285">
        <f>B285</f>
      </c>
      <c r="Y285" s="123"/>
      <c r="Z285" s="123"/>
      <c r="AA285" s="123"/>
      <c r="AB285" s="123"/>
      <c r="AC285" s="125"/>
      <c r="AO285">
        <f>K285</f>
      </c>
      <c r="AQ285" s="123">
        <f>AO285/(1+AP285)</f>
      </c>
      <c r="AR285">
        <f>L285</f>
      </c>
    </row>
    <row r="286">
      <c r="A286" t="str">
        <v>国内</v>
      </c>
      <c r="B286" t="str">
        <v>VA</v>
      </c>
      <c r="C286" t="str">
        <v>文创</v>
      </c>
      <c r="D286" t="str" xml:space="preserve">
        <v> </v>
      </c>
      <c r="E286" t="str" xml:space="preserve">
        <v> </v>
      </c>
      <c r="F286" t="str" xml:space="preserve">
        <v> </v>
      </c>
      <c r="G286" t="str">
        <v>JW20231221-1892</v>
      </c>
      <c r="H286">
        <v>20240122</v>
      </c>
      <c r="I286" t="str">
        <v>华东</v>
      </c>
      <c r="J286" t="str">
        <v>上海</v>
      </c>
      <c r="K286" s="124">
        <v>330000</v>
      </c>
      <c r="L286" t="str">
        <v>CNY</v>
      </c>
      <c r="N286" t="str">
        <v>待确认</v>
      </c>
      <c r="P286">
        <f>G286</f>
      </c>
      <c r="Q286" s="125"/>
      <c r="T286">
        <f>B286</f>
      </c>
      <c r="Y286" s="123"/>
      <c r="Z286" s="123"/>
      <c r="AA286" s="123"/>
      <c r="AB286" s="123"/>
      <c r="AC286" s="125"/>
      <c r="AO286">
        <f>K286</f>
      </c>
      <c r="AQ286" s="123">
        <f>AO286/(1+AP286)</f>
      </c>
      <c r="AR286">
        <f>L286</f>
      </c>
    </row>
    <row r="287">
      <c r="A287" t="str">
        <v>国内</v>
      </c>
      <c r="B287" t="str">
        <v>VA</v>
      </c>
      <c r="C287" t="str">
        <v>文创</v>
      </c>
      <c r="D287" t="str" xml:space="preserve">
        <v> </v>
      </c>
      <c r="E287" t="str" xml:space="preserve">
        <v> </v>
      </c>
      <c r="F287" t="str" xml:space="preserve">
        <v> </v>
      </c>
      <c r="G287" t="str">
        <v>JW20231221-1892</v>
      </c>
      <c r="H287">
        <v>20240122</v>
      </c>
      <c r="I287" t="str">
        <v>华东</v>
      </c>
      <c r="J287" t="str">
        <v>上海</v>
      </c>
      <c r="K287" s="124">
        <v>330000</v>
      </c>
      <c r="L287" t="str">
        <v>CNY</v>
      </c>
      <c r="N287" t="str">
        <v>待确认</v>
      </c>
      <c r="P287">
        <f>G287</f>
      </c>
      <c r="Q287" s="125"/>
      <c r="T287">
        <f>B287</f>
      </c>
      <c r="Y287" s="123"/>
      <c r="Z287" s="123"/>
      <c r="AA287" s="123"/>
      <c r="AB287" s="123"/>
      <c r="AC287" s="125"/>
      <c r="AO287">
        <f>K287</f>
      </c>
      <c r="AQ287" s="123">
        <f>AO287/(1+AP287)</f>
      </c>
      <c r="AR287">
        <f>L287</f>
      </c>
    </row>
    <row r="288">
      <c r="A288" t="str">
        <v>国内</v>
      </c>
      <c r="B288" t="str">
        <v>VA</v>
      </c>
      <c r="C288" t="str">
        <v>文创</v>
      </c>
      <c r="D288" t="str" xml:space="preserve">
        <v> </v>
      </c>
      <c r="E288" t="str" xml:space="preserve">
        <v> </v>
      </c>
      <c r="F288" t="str" xml:space="preserve">
        <v> </v>
      </c>
      <c r="G288" t="str">
        <v>YP2024010001</v>
      </c>
      <c r="H288">
        <v>20240118</v>
      </c>
      <c r="I288" t="str">
        <v>华南</v>
      </c>
      <c r="J288" t="str">
        <v>深圳</v>
      </c>
      <c r="K288" s="124">
        <v>11000</v>
      </c>
      <c r="L288" t="str">
        <v>CNY</v>
      </c>
      <c r="N288" t="str">
        <v>待确认</v>
      </c>
      <c r="P288">
        <f>G288</f>
      </c>
      <c r="Q288" s="125"/>
      <c r="T288">
        <f>B288</f>
      </c>
      <c r="Y288" s="123"/>
      <c r="Z288" s="123"/>
      <c r="AA288" s="123"/>
      <c r="AB288" s="123"/>
      <c r="AC288" s="125"/>
      <c r="AO288">
        <f>K288</f>
      </c>
      <c r="AQ288" s="123">
        <f>AO288/(1+AP288)</f>
      </c>
      <c r="AR288">
        <f>L288</f>
      </c>
    </row>
    <row r="289">
      <c r="A289" t="str">
        <v>国内</v>
      </c>
      <c r="B289" t="str">
        <v>VA</v>
      </c>
      <c r="C289" t="str">
        <v>文创</v>
      </c>
      <c r="D289" t="str" xml:space="preserve">
        <v> </v>
      </c>
      <c r="E289" t="str" xml:space="preserve">
        <v> </v>
      </c>
      <c r="F289" t="str" xml:space="preserve">
        <v> </v>
      </c>
      <c r="G289" t="str">
        <v>YP2024010001</v>
      </c>
      <c r="H289">
        <v>20240118</v>
      </c>
      <c r="I289" t="str">
        <v>华南</v>
      </c>
      <c r="J289" t="str">
        <v>深圳</v>
      </c>
      <c r="K289" s="124">
        <v>11000</v>
      </c>
      <c r="L289" t="str">
        <v>CNY</v>
      </c>
      <c r="N289" t="str">
        <v>待确认</v>
      </c>
      <c r="P289">
        <f>G289</f>
      </c>
      <c r="Q289" s="125"/>
      <c r="T289">
        <f>B289</f>
      </c>
      <c r="Y289" s="123"/>
      <c r="Z289" s="123"/>
      <c r="AA289" s="123"/>
      <c r="AB289" s="123"/>
      <c r="AC289" s="125"/>
      <c r="AO289">
        <f>K289</f>
      </c>
      <c r="AQ289" s="123">
        <f>AO289/(1+AP289)</f>
      </c>
      <c r="AR289">
        <f>L289</f>
      </c>
    </row>
    <row r="290">
      <c r="A290" t="str">
        <v>国内</v>
      </c>
      <c r="B290" t="str">
        <v>VA</v>
      </c>
      <c r="C290" t="str">
        <v>照明</v>
      </c>
      <c r="D290" t="str" xml:space="preserve">
        <v> </v>
      </c>
      <c r="E290" t="str" xml:space="preserve">
        <v> </v>
      </c>
      <c r="F290" t="str" xml:space="preserve">
        <v> </v>
      </c>
      <c r="G290" t="str">
        <v>UNIN2401017</v>
      </c>
      <c r="H290">
        <v>20240118</v>
      </c>
      <c r="I290" t="str">
        <v>华南</v>
      </c>
      <c r="J290" t="str">
        <v>深圳</v>
      </c>
      <c r="K290" s="124">
        <v>31200</v>
      </c>
      <c r="L290" t="str">
        <v>CNY</v>
      </c>
      <c r="N290" t="str">
        <v>待确认</v>
      </c>
      <c r="P290">
        <f>G290</f>
      </c>
      <c r="Q290" s="125"/>
      <c r="T290">
        <f>B290</f>
      </c>
      <c r="Y290" s="123"/>
      <c r="Z290" s="123"/>
      <c r="AA290" s="123"/>
      <c r="AB290" s="123"/>
      <c r="AC290" s="125"/>
      <c r="AO290">
        <f>K290</f>
      </c>
      <c r="AQ290" s="123">
        <f>AO290/(1+AP290)</f>
      </c>
      <c r="AR290">
        <f>L290</f>
      </c>
    </row>
    <row r="291">
      <c r="A291" t="str">
        <v>国内</v>
      </c>
      <c r="B291" t="str">
        <v>VA</v>
      </c>
      <c r="C291" t="str">
        <v>照明</v>
      </c>
      <c r="D291" t="str" xml:space="preserve">
        <v> </v>
      </c>
      <c r="E291" t="str" xml:space="preserve">
        <v> </v>
      </c>
      <c r="F291" t="str" xml:space="preserve">
        <v> </v>
      </c>
      <c r="G291" t="str">
        <v>UNIN2401026</v>
      </c>
      <c r="H291">
        <v>20240118</v>
      </c>
      <c r="I291" t="str">
        <v>东中</v>
      </c>
      <c r="J291" t="str">
        <v>湖南</v>
      </c>
      <c r="K291" s="124">
        <v>58000</v>
      </c>
      <c r="L291" t="str">
        <v>CNY</v>
      </c>
      <c r="N291" t="str">
        <v>待确认</v>
      </c>
      <c r="P291">
        <f>G291</f>
      </c>
      <c r="Q291" s="125"/>
      <c r="T291">
        <f>B291</f>
      </c>
      <c r="Y291" s="123"/>
      <c r="Z291" s="123"/>
      <c r="AA291" s="123"/>
      <c r="AB291" s="123"/>
      <c r="AC291" s="125"/>
      <c r="AO291">
        <f>K291</f>
      </c>
      <c r="AQ291" s="123">
        <f>AO291/(1+AP291)</f>
      </c>
      <c r="AR291">
        <f>L291</f>
      </c>
    </row>
    <row r="292">
      <c r="A292" t="str">
        <v>国内</v>
      </c>
      <c r="B292" t="str">
        <v>VA</v>
      </c>
      <c r="C292" t="str">
        <v>照明</v>
      </c>
      <c r="D292" t="str" xml:space="preserve">
        <v> </v>
      </c>
      <c r="E292" t="str" xml:space="preserve">
        <v> </v>
      </c>
      <c r="F292" t="str" xml:space="preserve">
        <v> </v>
      </c>
      <c r="G292" t="str">
        <v>UNIN2401021</v>
      </c>
      <c r="H292">
        <v>20240117</v>
      </c>
      <c r="I292" t="str">
        <v>华中</v>
      </c>
      <c r="J292" t="str">
        <v>江西</v>
      </c>
      <c r="K292" s="124">
        <v>121000</v>
      </c>
      <c r="L292" t="str">
        <v>CNY</v>
      </c>
      <c r="N292" t="str">
        <v>待确认</v>
      </c>
      <c r="P292">
        <f>G292</f>
      </c>
      <c r="Q292" s="125"/>
      <c r="T292">
        <f>B292</f>
      </c>
      <c r="Y292" s="123"/>
      <c r="Z292" s="123"/>
      <c r="AA292" s="123"/>
      <c r="AB292" s="123"/>
      <c r="AC292" s="125"/>
      <c r="AO292">
        <f>K292</f>
      </c>
      <c r="AQ292" s="123">
        <f>AO292/(1+AP292)</f>
      </c>
      <c r="AR292">
        <f>L292</f>
      </c>
    </row>
    <row r="293">
      <c r="A293" t="str">
        <v>国内</v>
      </c>
      <c r="B293" t="str">
        <v>VA</v>
      </c>
      <c r="C293" t="str">
        <v>照明</v>
      </c>
      <c r="D293" t="str" xml:space="preserve">
        <v> </v>
      </c>
      <c r="E293" t="str" xml:space="preserve">
        <v> </v>
      </c>
      <c r="F293" t="str" xml:space="preserve">
        <v> </v>
      </c>
      <c r="G293" t="str">
        <v>UNIN2401019</v>
      </c>
      <c r="H293">
        <v>20240117</v>
      </c>
      <c r="I293" t="str">
        <v>华南</v>
      </c>
      <c r="J293" t="str">
        <v>福建</v>
      </c>
      <c r="K293" s="124">
        <v>240190</v>
      </c>
      <c r="L293" t="str">
        <v>CNY</v>
      </c>
      <c r="N293" t="str">
        <v>待确认</v>
      </c>
      <c r="P293">
        <f>G293</f>
      </c>
      <c r="Q293" s="125"/>
      <c r="T293">
        <f>B293</f>
      </c>
      <c r="Y293" s="123"/>
      <c r="Z293" s="123"/>
      <c r="AA293" s="123"/>
      <c r="AB293" s="123"/>
      <c r="AC293" s="125"/>
      <c r="AO293">
        <f>K293</f>
      </c>
      <c r="AQ293" s="123">
        <f>AO293/(1+AP293)</f>
      </c>
      <c r="AR293">
        <f>L293</f>
      </c>
    </row>
    <row r="294">
      <c r="A294" t="str">
        <v>国内</v>
      </c>
      <c r="B294" t="str">
        <v>VA</v>
      </c>
      <c r="C294" t="str">
        <v>照明</v>
      </c>
      <c r="D294" t="str" xml:space="preserve">
        <v> </v>
      </c>
      <c r="E294" t="str" xml:space="preserve">
        <v> </v>
      </c>
      <c r="F294" t="str" xml:space="preserve">
        <v> </v>
      </c>
      <c r="G294" t="str">
        <v>UNIN2401001</v>
      </c>
      <c r="H294">
        <v>20240112</v>
      </c>
      <c r="I294" t="str">
        <v>西南</v>
      </c>
      <c r="J294" t="str">
        <v>重庆</v>
      </c>
      <c r="K294" s="124">
        <v>5000</v>
      </c>
      <c r="L294" t="str">
        <v>CNY</v>
      </c>
      <c r="N294" t="str">
        <v>待确认</v>
      </c>
      <c r="P294">
        <f>G294</f>
      </c>
      <c r="Q294" s="125"/>
      <c r="T294">
        <f>B294</f>
      </c>
      <c r="Y294" s="123"/>
      <c r="Z294" s="123"/>
      <c r="AA294" s="123"/>
      <c r="AB294" s="123"/>
      <c r="AC294" s="125"/>
      <c r="AO294">
        <f>K294</f>
      </c>
      <c r="AQ294" s="123">
        <f>AO294/(1+AP294)</f>
      </c>
      <c r="AR294">
        <f>L294</f>
      </c>
    </row>
    <row r="295">
      <c r="A295" t="str">
        <v>国内</v>
      </c>
      <c r="B295" t="str">
        <v>VA</v>
      </c>
      <c r="C295" t="str">
        <v>照明</v>
      </c>
      <c r="D295" t="str" xml:space="preserve">
        <v> </v>
      </c>
      <c r="E295" t="str" xml:space="preserve">
        <v> </v>
      </c>
      <c r="F295" t="str" xml:space="preserve">
        <v> </v>
      </c>
      <c r="G295" t="str">
        <v>UNIN2401014</v>
      </c>
      <c r="H295">
        <v>20240111</v>
      </c>
      <c r="I295" t="str">
        <v>华东</v>
      </c>
      <c r="J295" t="str">
        <v>上海</v>
      </c>
      <c r="K295">
        <v>486.28</v>
      </c>
      <c r="L295" t="str">
        <v>CNY</v>
      </c>
      <c r="N295" t="str">
        <v>待确认</v>
      </c>
      <c r="P295">
        <f>G295</f>
      </c>
      <c r="Q295" s="125"/>
      <c r="T295">
        <f>B295</f>
      </c>
      <c r="Y295" s="123"/>
      <c r="Z295" s="123"/>
      <c r="AA295" s="123"/>
      <c r="AB295" s="123"/>
      <c r="AC295" s="125"/>
      <c r="AO295">
        <f>K295</f>
      </c>
      <c r="AQ295" s="123">
        <f>AO295/(1+AP295)</f>
      </c>
      <c r="AR295">
        <f>L295</f>
      </c>
    </row>
    <row r="296">
      <c r="A296" t="str">
        <v>国内</v>
      </c>
      <c r="B296" t="str">
        <v>VA</v>
      </c>
      <c r="C296" t="str">
        <v>照明</v>
      </c>
      <c r="D296" t="str" xml:space="preserve">
        <v> </v>
      </c>
      <c r="E296" t="str" xml:space="preserve">
        <v> </v>
      </c>
      <c r="F296" t="str" xml:space="preserve">
        <v> </v>
      </c>
      <c r="G296" t="str">
        <v>UNIN2401012</v>
      </c>
      <c r="H296">
        <v>20240111</v>
      </c>
      <c r="I296" t="str">
        <v>华南</v>
      </c>
      <c r="J296" t="str">
        <v>广州</v>
      </c>
      <c r="K296" s="124">
        <v>1950</v>
      </c>
      <c r="L296" t="str">
        <v>CNY</v>
      </c>
      <c r="N296" t="str">
        <v>待确认</v>
      </c>
      <c r="P296">
        <f>G296</f>
      </c>
      <c r="Q296" s="125"/>
      <c r="T296">
        <f>B296</f>
      </c>
      <c r="Y296" s="123"/>
      <c r="Z296" s="123"/>
      <c r="AA296" s="123"/>
      <c r="AB296" s="123"/>
      <c r="AC296" s="125"/>
      <c r="AO296">
        <f>K296</f>
      </c>
      <c r="AQ296" s="123">
        <f>AO296/(1+AP296)</f>
      </c>
      <c r="AR296">
        <f>L296</f>
      </c>
    </row>
    <row r="297">
      <c r="A297" t="str">
        <v>国内</v>
      </c>
      <c r="B297" t="str">
        <v>VA</v>
      </c>
      <c r="C297" t="str">
        <v>照明</v>
      </c>
      <c r="D297" t="str" xml:space="preserve">
        <v> </v>
      </c>
      <c r="E297" t="str" xml:space="preserve">
        <v> </v>
      </c>
      <c r="F297" t="str" xml:space="preserve">
        <v> </v>
      </c>
      <c r="G297" t="str">
        <v>UNIN2401010</v>
      </c>
      <c r="H297">
        <v>20240111</v>
      </c>
      <c r="I297" t="str">
        <v>华东</v>
      </c>
      <c r="J297" t="str">
        <v>上海</v>
      </c>
      <c r="K297" s="124">
        <v>1456</v>
      </c>
      <c r="L297" t="str">
        <v>CNY</v>
      </c>
      <c r="N297" t="str">
        <v>待确认</v>
      </c>
      <c r="P297">
        <f>G297</f>
      </c>
      <c r="Q297" s="125"/>
      <c r="T297">
        <f>B297</f>
      </c>
      <c r="Y297" s="123"/>
      <c r="Z297" s="123"/>
      <c r="AA297" s="123"/>
      <c r="AB297" s="123"/>
      <c r="AC297" s="125"/>
      <c r="AO297">
        <f>K297</f>
      </c>
      <c r="AQ297" s="123">
        <f>AO297/(1+AP297)</f>
      </c>
      <c r="AR297">
        <f>L297</f>
      </c>
    </row>
    <row r="298">
      <c r="A298" t="str">
        <v>国内</v>
      </c>
      <c r="B298" t="str">
        <v>VA</v>
      </c>
      <c r="C298" t="str">
        <v>照明</v>
      </c>
      <c r="D298" t="str" xml:space="preserve">
        <v> </v>
      </c>
      <c r="E298" t="str" xml:space="preserve">
        <v> </v>
      </c>
      <c r="F298" t="str" xml:space="preserve">
        <v> </v>
      </c>
      <c r="G298" t="str">
        <v>UNIN2401016</v>
      </c>
      <c r="H298">
        <v>20240111</v>
      </c>
      <c r="I298" t="str">
        <v>华南</v>
      </c>
      <c r="J298" t="str">
        <v>广州</v>
      </c>
      <c r="K298" s="124">
        <v>4080</v>
      </c>
      <c r="L298" t="str">
        <v>CNY</v>
      </c>
      <c r="N298" t="str">
        <v>待确认</v>
      </c>
      <c r="P298">
        <f>G298</f>
      </c>
      <c r="Q298" s="125"/>
      <c r="T298">
        <f>B298</f>
      </c>
      <c r="Y298" s="123"/>
      <c r="Z298" s="123"/>
      <c r="AA298" s="123"/>
      <c r="AB298" s="123"/>
      <c r="AC298" s="125"/>
      <c r="AO298">
        <f>K298</f>
      </c>
      <c r="AQ298" s="123">
        <f>AO298/(1+AP298)</f>
      </c>
      <c r="AR298">
        <f>L298</f>
      </c>
    </row>
    <row r="299">
      <c r="A299" t="str">
        <v>国内</v>
      </c>
      <c r="B299" t="str">
        <v>VA</v>
      </c>
      <c r="C299" t="str">
        <v>照明</v>
      </c>
      <c r="D299" t="str" xml:space="preserve">
        <v> </v>
      </c>
      <c r="E299" t="str" xml:space="preserve">
        <v> </v>
      </c>
      <c r="F299" t="str" xml:space="preserve">
        <v> </v>
      </c>
      <c r="G299" t="str">
        <v>UNIN2401003</v>
      </c>
      <c r="H299">
        <v>20240110</v>
      </c>
      <c r="I299" t="str">
        <v>西南</v>
      </c>
      <c r="J299" t="str">
        <v>重庆</v>
      </c>
      <c r="K299" s="124">
        <v>7000</v>
      </c>
      <c r="L299" t="str">
        <v>CNY</v>
      </c>
      <c r="N299" t="str">
        <v>待确认</v>
      </c>
      <c r="P299">
        <f>G299</f>
      </c>
      <c r="Q299" s="125"/>
      <c r="T299">
        <f>B299</f>
      </c>
      <c r="Y299" s="123"/>
      <c r="Z299" s="123"/>
      <c r="AA299" s="123"/>
      <c r="AB299" s="123"/>
      <c r="AC299" s="125"/>
      <c r="AO299">
        <f>K299</f>
      </c>
      <c r="AQ299" s="123">
        <f>AO299/(1+AP299)</f>
      </c>
      <c r="AR299">
        <f>L299</f>
      </c>
    </row>
    <row r="300">
      <c r="A300" t="str">
        <v>国内</v>
      </c>
      <c r="B300" t="str">
        <v>VA</v>
      </c>
      <c r="C300" t="str">
        <v>照明</v>
      </c>
      <c r="D300" t="str" xml:space="preserve">
        <v> </v>
      </c>
      <c r="E300" t="str" xml:space="preserve">
        <v> </v>
      </c>
      <c r="F300" t="str" xml:space="preserve">
        <v> </v>
      </c>
      <c r="G300" t="str">
        <v>UNIN2401006</v>
      </c>
      <c r="H300">
        <v>20240109</v>
      </c>
      <c r="I300" t="str">
        <v>华南</v>
      </c>
      <c r="J300" t="str">
        <v>福建</v>
      </c>
      <c r="K300" s="124">
        <v>906735</v>
      </c>
      <c r="L300" t="str">
        <v>CNY</v>
      </c>
      <c r="N300" t="str">
        <v>待确认</v>
      </c>
      <c r="P300">
        <f>G300</f>
      </c>
      <c r="Q300" s="125"/>
      <c r="T300">
        <f>B300</f>
      </c>
      <c r="Y300" s="123"/>
      <c r="Z300" s="123"/>
      <c r="AA300" s="123"/>
      <c r="AB300" s="123"/>
      <c r="AC300" s="125"/>
      <c r="AO300">
        <f>K300</f>
      </c>
      <c r="AQ300" s="123">
        <f>AO300/(1+AP300)</f>
      </c>
      <c r="AR300">
        <f>L300</f>
      </c>
    </row>
    <row r="301">
      <c r="A301" t="str">
        <v>国内</v>
      </c>
      <c r="B301" t="str">
        <v>VA</v>
      </c>
      <c r="C301" t="str">
        <v>照明</v>
      </c>
      <c r="D301" t="str" xml:space="preserve">
        <v> </v>
      </c>
      <c r="E301" t="str" xml:space="preserve">
        <v> </v>
      </c>
      <c r="F301" t="str" xml:space="preserve">
        <v> </v>
      </c>
      <c r="G301" t="str">
        <v>UNIN2310299</v>
      </c>
      <c r="H301">
        <v>20240109</v>
      </c>
      <c r="I301" t="str">
        <v>华南</v>
      </c>
      <c r="J301" t="str">
        <v>广州</v>
      </c>
      <c r="K301" s="124">
        <v>5292</v>
      </c>
      <c r="L301" t="str">
        <v>CNY</v>
      </c>
      <c r="N301" t="str">
        <v>待确认</v>
      </c>
      <c r="P301">
        <f>G301</f>
      </c>
      <c r="Q301" s="125"/>
      <c r="T301">
        <f>B301</f>
      </c>
      <c r="Y301" s="123"/>
      <c r="Z301" s="123"/>
      <c r="AA301" s="123"/>
      <c r="AB301" s="123"/>
      <c r="AC301" s="125"/>
      <c r="AO301">
        <f>K301</f>
      </c>
      <c r="AQ301" s="123">
        <f>AO301/(1+AP301)</f>
      </c>
      <c r="AR301">
        <f>L301</f>
      </c>
    </row>
    <row r="302">
      <c r="A302" t="str">
        <v>国内</v>
      </c>
      <c r="B302" t="str">
        <v>VA</v>
      </c>
      <c r="C302" t="str">
        <v>照明</v>
      </c>
      <c r="D302" t="str" xml:space="preserve">
        <v> </v>
      </c>
      <c r="E302" t="str" xml:space="preserve">
        <v> </v>
      </c>
      <c r="F302" t="str" xml:space="preserve">
        <v> </v>
      </c>
      <c r="G302" t="str">
        <v>UNIN2312411</v>
      </c>
      <c r="H302">
        <v>20240108</v>
      </c>
      <c r="I302" t="str">
        <v>华南</v>
      </c>
      <c r="J302" t="str">
        <v>广西</v>
      </c>
      <c r="K302" s="124">
        <v>28500</v>
      </c>
      <c r="L302" t="str">
        <v>CNY</v>
      </c>
      <c r="N302" t="str">
        <v>待确认</v>
      </c>
      <c r="P302">
        <f>G302</f>
      </c>
      <c r="Q302" s="125"/>
      <c r="T302">
        <f>B302</f>
      </c>
      <c r="Y302" s="123"/>
      <c r="Z302" s="123"/>
      <c r="AA302" s="123"/>
      <c r="AB302" s="123"/>
      <c r="AC302" s="125"/>
      <c r="AO302">
        <f>K302</f>
      </c>
      <c r="AQ302" s="123">
        <f>AO302/(1+AP302)</f>
      </c>
      <c r="AR302">
        <f>L302</f>
      </c>
    </row>
    <row r="303">
      <c r="A303" t="str">
        <v>国内</v>
      </c>
      <c r="B303" t="str">
        <v>VA</v>
      </c>
      <c r="C303" t="str">
        <v>照明</v>
      </c>
      <c r="D303" t="str" xml:space="preserve">
        <v> </v>
      </c>
      <c r="E303" t="str" xml:space="preserve">
        <v> </v>
      </c>
      <c r="F303" t="str" xml:space="preserve">
        <v> </v>
      </c>
      <c r="G303" t="str">
        <v>UNIN2401008</v>
      </c>
      <c r="H303">
        <v>20240108</v>
      </c>
      <c r="I303" t="str">
        <v>东中</v>
      </c>
      <c r="J303" t="str">
        <v>安徽</v>
      </c>
      <c r="K303" s="124">
        <v>19200</v>
      </c>
      <c r="L303" t="str">
        <v>CNY</v>
      </c>
      <c r="N303" t="str">
        <v>待确认</v>
      </c>
      <c r="P303">
        <f>G303</f>
      </c>
      <c r="Q303" s="125"/>
      <c r="T303">
        <f>B303</f>
      </c>
      <c r="Y303" s="123"/>
      <c r="Z303" s="123"/>
      <c r="AA303" s="123"/>
      <c r="AB303" s="123"/>
      <c r="AC303" s="125"/>
      <c r="AO303">
        <f>K303</f>
      </c>
      <c r="AQ303" s="123">
        <f>AO303/(1+AP303)</f>
      </c>
      <c r="AR303">
        <f>L303</f>
      </c>
    </row>
    <row r="304">
      <c r="A304" t="str">
        <v>国内</v>
      </c>
      <c r="B304" t="str">
        <v>VA</v>
      </c>
      <c r="C304" t="str">
        <v>照明</v>
      </c>
      <c r="D304" t="str" xml:space="preserve">
        <v> </v>
      </c>
      <c r="E304" t="str" xml:space="preserve">
        <v> </v>
      </c>
      <c r="F304" t="str" xml:space="preserve">
        <v> </v>
      </c>
      <c r="G304" t="str">
        <v>UNIN2401005</v>
      </c>
      <c r="H304">
        <v>20240105</v>
      </c>
      <c r="I304" t="str">
        <v>华南</v>
      </c>
      <c r="J304" t="str">
        <v>福建</v>
      </c>
      <c r="K304" s="124">
        <v>164140</v>
      </c>
      <c r="L304" t="str">
        <v>CNY</v>
      </c>
      <c r="N304" t="str">
        <v>待确认</v>
      </c>
      <c r="P304">
        <f>G304</f>
      </c>
      <c r="Q304" s="125"/>
      <c r="T304">
        <f>B304</f>
      </c>
      <c r="Y304" s="123"/>
      <c r="Z304" s="123"/>
      <c r="AA304" s="123"/>
      <c r="AB304" s="123"/>
      <c r="AC304" s="125"/>
      <c r="AO304">
        <f>K304</f>
      </c>
      <c r="AQ304" s="123">
        <f>AO304/(1+AP304)</f>
      </c>
      <c r="AR304">
        <f>L304</f>
      </c>
    </row>
    <row r="305">
      <c r="A305" t="str">
        <v>国内</v>
      </c>
      <c r="B305" t="str">
        <v>VA</v>
      </c>
      <c r="C305" t="str">
        <v>照明</v>
      </c>
      <c r="D305" t="str" xml:space="preserve">
        <v> </v>
      </c>
      <c r="E305" t="str" xml:space="preserve">
        <v> </v>
      </c>
      <c r="F305" t="str" xml:space="preserve">
        <v> </v>
      </c>
      <c r="G305" t="str">
        <v>UNIN2401002</v>
      </c>
      <c r="H305">
        <v>20240105</v>
      </c>
      <c r="I305" t="str">
        <v>东中</v>
      </c>
      <c r="J305" t="str">
        <v>湖南</v>
      </c>
      <c r="K305" s="124">
        <v>3630</v>
      </c>
      <c r="L305" t="str">
        <v>CNY</v>
      </c>
      <c r="N305" t="str">
        <v>待确认</v>
      </c>
      <c r="P305">
        <f>G305</f>
      </c>
      <c r="Q305" s="125"/>
      <c r="T305">
        <f>B305</f>
      </c>
      <c r="Y305" s="123"/>
      <c r="Z305" s="123"/>
      <c r="AA305" s="123"/>
      <c r="AB305" s="123"/>
      <c r="AC305" s="125"/>
      <c r="AO305">
        <f>K305</f>
      </c>
      <c r="AQ305" s="123">
        <f>AO305/(1+AP305)</f>
      </c>
      <c r="AR305">
        <f>L305</f>
      </c>
    </row>
    <row r="306">
      <c r="A306" t="str">
        <v>国内</v>
      </c>
      <c r="B306" t="str">
        <v>VA</v>
      </c>
      <c r="C306" t="str">
        <v>照明</v>
      </c>
      <c r="D306" t="str" xml:space="preserve">
        <v> </v>
      </c>
      <c r="E306" t="str" xml:space="preserve">
        <v> </v>
      </c>
      <c r="F306" t="str" xml:space="preserve">
        <v> </v>
      </c>
      <c r="G306" t="str">
        <v>UNIN2312413</v>
      </c>
      <c r="H306">
        <v>20240105</v>
      </c>
      <c r="I306" t="str">
        <v>华东</v>
      </c>
      <c r="J306" t="str">
        <v>浙江</v>
      </c>
      <c r="K306" s="124">
        <v>146406</v>
      </c>
      <c r="L306" t="str">
        <v>CNY</v>
      </c>
      <c r="N306" t="str">
        <v>待确认</v>
      </c>
      <c r="P306">
        <f>G306</f>
      </c>
      <c r="Q306" s="125"/>
      <c r="T306">
        <f>B306</f>
      </c>
      <c r="Y306" s="123"/>
      <c r="Z306" s="123"/>
      <c r="AA306" s="123"/>
      <c r="AB306" s="123"/>
      <c r="AC306" s="125"/>
      <c r="AO306">
        <f>K306</f>
      </c>
      <c r="AQ306" s="123">
        <f>AO306/(1+AP306)</f>
      </c>
      <c r="AR306">
        <f>L306</f>
      </c>
    </row>
    <row r="307">
      <c r="A307" t="str">
        <v>国内</v>
      </c>
      <c r="B307" t="str">
        <v>VA</v>
      </c>
      <c r="C307" t="str">
        <v>照明</v>
      </c>
      <c r="D307" t="str" xml:space="preserve">
        <v> </v>
      </c>
      <c r="E307" t="str" xml:space="preserve">
        <v> </v>
      </c>
      <c r="F307" t="str" xml:space="preserve">
        <v> </v>
      </c>
      <c r="G307" t="str">
        <v>UNIN2401004</v>
      </c>
      <c r="H307">
        <v>20240104</v>
      </c>
      <c r="I307" t="str">
        <v>西南</v>
      </c>
      <c r="J307" t="str">
        <v>四川</v>
      </c>
      <c r="K307" s="124">
        <v>3900</v>
      </c>
      <c r="L307" t="str">
        <v>CNY</v>
      </c>
      <c r="N307" t="str">
        <v>待确认</v>
      </c>
      <c r="P307">
        <f>G307</f>
      </c>
      <c r="Q307" s="125"/>
      <c r="T307">
        <f>B307</f>
      </c>
      <c r="Y307" s="123"/>
      <c r="Z307" s="123"/>
      <c r="AA307" s="123"/>
      <c r="AB307" s="123"/>
      <c r="AC307" s="125"/>
      <c r="AO307">
        <f>K307</f>
      </c>
      <c r="AQ307" s="123">
        <f>AO307/(1+AP307)</f>
      </c>
      <c r="AR307">
        <f>L307</f>
      </c>
    </row>
    <row r="308">
      <c r="A308" t="str">
        <v>国内</v>
      </c>
      <c r="B308" t="str">
        <v>VA</v>
      </c>
      <c r="C308" t="str">
        <v>照明</v>
      </c>
      <c r="D308" t="str" xml:space="preserve">
        <v> </v>
      </c>
      <c r="E308" t="str" xml:space="preserve">
        <v> </v>
      </c>
      <c r="F308" t="str" xml:space="preserve">
        <v> </v>
      </c>
      <c r="G308" t="str">
        <v>UNIN2312418</v>
      </c>
      <c r="H308">
        <v>20240104</v>
      </c>
      <c r="I308" t="str">
        <v>东中</v>
      </c>
      <c r="J308" t="str">
        <v>河南</v>
      </c>
      <c r="K308" s="124">
        <v>372530</v>
      </c>
      <c r="L308" t="str">
        <v>CNY</v>
      </c>
      <c r="N308" t="str">
        <v>待确认</v>
      </c>
      <c r="P308">
        <f>G308</f>
      </c>
      <c r="Q308" s="125"/>
      <c r="T308">
        <f>B308</f>
      </c>
      <c r="Y308" s="123"/>
      <c r="Z308" s="123"/>
      <c r="AA308" s="123"/>
      <c r="AB308" s="123"/>
      <c r="AC308" s="125"/>
      <c r="AO308">
        <f>K308</f>
      </c>
      <c r="AQ308" s="123">
        <f>AO308/(1+AP308)</f>
      </c>
      <c r="AR308">
        <f>L308</f>
      </c>
    </row>
    <row r="309">
      <c r="A309" t="str">
        <v>国内</v>
      </c>
      <c r="B309" t="str">
        <v>VA</v>
      </c>
      <c r="C309" t="str">
        <v>照明</v>
      </c>
      <c r="D309" t="str" xml:space="preserve">
        <v> </v>
      </c>
      <c r="E309" t="str" xml:space="preserve">
        <v> </v>
      </c>
      <c r="F309" t="str" xml:space="preserve">
        <v> </v>
      </c>
      <c r="G309" t="str">
        <v>UNIN2312399</v>
      </c>
      <c r="H309">
        <v>20240103</v>
      </c>
      <c r="I309" t="str">
        <v>西南</v>
      </c>
      <c r="J309" t="str">
        <v>云南</v>
      </c>
      <c r="K309" s="124">
        <v>227251</v>
      </c>
      <c r="L309" t="str">
        <v>CNY</v>
      </c>
      <c r="N309" t="str">
        <v>待确认</v>
      </c>
      <c r="P309">
        <f>G309</f>
      </c>
      <c r="Q309" s="125"/>
      <c r="T309">
        <f>B309</f>
      </c>
      <c r="Y309" s="123"/>
      <c r="Z309" s="123"/>
      <c r="AA309" s="123"/>
      <c r="AB309" s="123"/>
      <c r="AC309" s="125"/>
      <c r="AO309">
        <f>K309</f>
      </c>
      <c r="AQ309" s="123">
        <f>AO309/(1+AP309)</f>
      </c>
      <c r="AR309">
        <f>L309</f>
      </c>
    </row>
    <row r="310">
      <c r="A310" t="str">
        <v>国内</v>
      </c>
      <c r="B310" t="str">
        <v>VA</v>
      </c>
      <c r="C310" t="str">
        <v>照明</v>
      </c>
      <c r="D310" t="str" xml:space="preserve">
        <v> </v>
      </c>
      <c r="E310" t="str" xml:space="preserve">
        <v> </v>
      </c>
      <c r="F310" t="str" xml:space="preserve">
        <v> </v>
      </c>
      <c r="G310" t="str">
        <v>UNIN2312412</v>
      </c>
      <c r="H310">
        <v>20240103</v>
      </c>
      <c r="I310" t="str">
        <v>华东</v>
      </c>
      <c r="J310" t="str">
        <v>浙江</v>
      </c>
      <c r="K310" s="126">
        <v>45633.6</v>
      </c>
      <c r="L310" t="str">
        <v>CNY</v>
      </c>
      <c r="N310" t="str">
        <v>待确认</v>
      </c>
      <c r="P310">
        <f>G310</f>
      </c>
      <c r="Q310" s="125"/>
      <c r="T310">
        <f>B310</f>
      </c>
      <c r="Y310" s="123"/>
      <c r="Z310" s="123"/>
      <c r="AA310" s="123"/>
      <c r="AB310" s="123"/>
      <c r="AC310" s="125"/>
      <c r="AO310">
        <f>K310</f>
      </c>
      <c r="AQ310" s="123">
        <f>AO310/(1+AP310)</f>
      </c>
      <c r="AR310">
        <f>L310</f>
      </c>
    </row>
    <row r="311">
      <c r="A311" t="str">
        <v>国内</v>
      </c>
      <c r="B311" t="str">
        <v>VA</v>
      </c>
      <c r="C311" t="str">
        <v>照明</v>
      </c>
      <c r="D311" t="str" xml:space="preserve">
        <v> </v>
      </c>
      <c r="E311" t="str" xml:space="preserve">
        <v> </v>
      </c>
      <c r="F311" t="str" xml:space="preserve">
        <v> </v>
      </c>
      <c r="G311" t="str">
        <v>UNIN2312381</v>
      </c>
      <c r="H311">
        <v>20240103</v>
      </c>
      <c r="I311" t="str">
        <v>西南</v>
      </c>
      <c r="J311" t="str">
        <v>云南</v>
      </c>
      <c r="K311" s="124">
        <v>13033446</v>
      </c>
      <c r="L311" t="str">
        <v>CNY</v>
      </c>
      <c r="N311" t="str">
        <v>待确认</v>
      </c>
      <c r="P311">
        <f>G311</f>
      </c>
      <c r="Q311" s="125"/>
      <c r="T311">
        <f>B311</f>
      </c>
      <c r="Y311" s="123"/>
      <c r="Z311" s="123"/>
      <c r="AA311" s="123"/>
      <c r="AB311" s="123"/>
      <c r="AC311" s="125"/>
      <c r="AO311">
        <f>K311</f>
      </c>
      <c r="AQ311" s="123">
        <f>AO311/(1+AP311)</f>
      </c>
      <c r="AR311">
        <f>L311</f>
      </c>
    </row>
    <row r="312">
      <c r="A312" t="str">
        <v>国内</v>
      </c>
      <c r="B312" t="str">
        <v>VA</v>
      </c>
      <c r="C312" t="str">
        <v>照明</v>
      </c>
      <c r="D312" t="str" xml:space="preserve">
        <v> </v>
      </c>
      <c r="E312" t="str" xml:space="preserve">
        <v> </v>
      </c>
      <c r="F312" t="str" xml:space="preserve">
        <v> </v>
      </c>
      <c r="G312" t="str">
        <v>UNIN2312380</v>
      </c>
      <c r="H312">
        <v>20240103</v>
      </c>
      <c r="I312" t="str">
        <v>西南</v>
      </c>
      <c r="J312" t="str">
        <v>云南</v>
      </c>
      <c r="K312" s="124">
        <v>7296716</v>
      </c>
      <c r="L312" t="str">
        <v>CNY</v>
      </c>
      <c r="N312" t="str">
        <v>待确认</v>
      </c>
      <c r="P312">
        <f>G312</f>
      </c>
      <c r="Q312" s="125"/>
      <c r="T312">
        <f>B312</f>
      </c>
      <c r="Y312" s="123"/>
      <c r="Z312" s="123"/>
      <c r="AA312" s="123"/>
      <c r="AB312" s="123"/>
      <c r="AC312" s="125"/>
      <c r="AO312">
        <f>K312</f>
      </c>
      <c r="AQ312" s="123">
        <f>AO312/(1+AP312)</f>
      </c>
      <c r="AR312">
        <f>L312</f>
      </c>
    </row>
    <row r="313">
      <c r="A313" t="str">
        <v>国内</v>
      </c>
      <c r="B313" t="str">
        <v>VA</v>
      </c>
      <c r="C313" t="str">
        <v>照明</v>
      </c>
      <c r="D313" t="str" xml:space="preserve">
        <v> </v>
      </c>
      <c r="E313" t="str" xml:space="preserve">
        <v> </v>
      </c>
      <c r="F313" t="str" xml:space="preserve">
        <v> </v>
      </c>
      <c r="G313" t="str">
        <v>UNIN2312394</v>
      </c>
      <c r="H313">
        <v>20240102</v>
      </c>
      <c r="I313" t="str">
        <v>华南</v>
      </c>
      <c r="J313" t="str">
        <v>福建</v>
      </c>
      <c r="K313" s="124">
        <v>110750</v>
      </c>
      <c r="L313" t="str">
        <v>CNY</v>
      </c>
      <c r="N313" t="str">
        <v>待确认</v>
      </c>
      <c r="P313">
        <f>G313</f>
      </c>
      <c r="Q313" s="125"/>
      <c r="T313">
        <f>B313</f>
      </c>
      <c r="Y313" s="123"/>
      <c r="Z313" s="123"/>
      <c r="AA313" s="123"/>
      <c r="AB313" s="123"/>
      <c r="AC313" s="125"/>
      <c r="AO313">
        <f>K313</f>
      </c>
      <c r="AQ313" s="123">
        <f>AO313/(1+AP313)</f>
      </c>
      <c r="AR313">
        <f>L313</f>
      </c>
    </row>
    <row r="314">
      <c r="A314" t="str">
        <v>国内</v>
      </c>
      <c r="B314" t="str">
        <v>VA</v>
      </c>
      <c r="C314" t="str">
        <v>照明</v>
      </c>
      <c r="D314" t="str" xml:space="preserve">
        <v> </v>
      </c>
      <c r="E314" t="str" xml:space="preserve">
        <v> </v>
      </c>
      <c r="F314" t="str" xml:space="preserve">
        <v> </v>
      </c>
      <c r="G314" t="str">
        <v>UNIN2312414</v>
      </c>
      <c r="H314">
        <v>20240102</v>
      </c>
      <c r="I314" t="str">
        <v>西南</v>
      </c>
      <c r="J314" t="str">
        <v>四川</v>
      </c>
      <c r="K314" s="124">
        <v>50751</v>
      </c>
      <c r="L314" t="str">
        <v>CNY</v>
      </c>
      <c r="N314" t="str">
        <v>待确认</v>
      </c>
      <c r="P314">
        <f>G314</f>
      </c>
      <c r="Q314" s="125"/>
      <c r="T314">
        <f>B314</f>
      </c>
      <c r="Y314" s="123"/>
      <c r="Z314" s="123"/>
      <c r="AA314" s="123"/>
      <c r="AB314" s="123"/>
      <c r="AC314" s="125"/>
      <c r="AO314">
        <f>K314</f>
      </c>
      <c r="AQ314" s="123">
        <f>AO314/(1+AP314)</f>
      </c>
      <c r="AR314">
        <f>L314</f>
      </c>
    </row>
    <row r="315">
      <c r="A315" t="str">
        <v>国内</v>
      </c>
      <c r="B315" t="str">
        <v>VA</v>
      </c>
      <c r="C315" t="str">
        <v>照明</v>
      </c>
      <c r="D315" t="str" xml:space="preserve">
        <v> </v>
      </c>
      <c r="E315" t="str" xml:space="preserve">
        <v> </v>
      </c>
      <c r="F315" t="str" xml:space="preserve">
        <v> </v>
      </c>
      <c r="G315" t="str">
        <v>UNIN2312389</v>
      </c>
      <c r="H315">
        <v>20240102</v>
      </c>
      <c r="I315" t="str">
        <v>华南</v>
      </c>
      <c r="J315" t="str">
        <v>福建</v>
      </c>
      <c r="K315" s="124">
        <v>99000</v>
      </c>
      <c r="L315" t="str">
        <v>CNY</v>
      </c>
      <c r="N315" t="str">
        <v>待确认</v>
      </c>
      <c r="P315">
        <f>G315</f>
      </c>
      <c r="Q315" s="125"/>
      <c r="T315">
        <f>B315</f>
      </c>
      <c r="Y315" s="123"/>
      <c r="Z315" s="123"/>
      <c r="AA315" s="123"/>
      <c r="AB315" s="123"/>
      <c r="AC315" s="125"/>
      <c r="AO315">
        <f>K315</f>
      </c>
      <c r="AQ315" s="123">
        <f>AO315/(1+AP315)</f>
      </c>
      <c r="AR315">
        <f>L315</f>
      </c>
    </row>
    <row r="316">
      <c r="A316" t="str">
        <v>国内</v>
      </c>
      <c r="B316" t="str">
        <v>VA</v>
      </c>
      <c r="C316" t="str">
        <v>照明</v>
      </c>
      <c r="D316" t="str" xml:space="preserve">
        <v> </v>
      </c>
      <c r="E316" t="str" xml:space="preserve">
        <v> </v>
      </c>
      <c r="F316" t="str" xml:space="preserve">
        <v> </v>
      </c>
      <c r="G316" t="str">
        <v>UNIN2312407</v>
      </c>
      <c r="H316">
        <v>20240102</v>
      </c>
      <c r="I316" t="str">
        <v>华南</v>
      </c>
      <c r="J316" t="str">
        <v>福建</v>
      </c>
      <c r="K316" s="124">
        <v>65000</v>
      </c>
      <c r="L316" t="str">
        <v>CNY</v>
      </c>
      <c r="N316" t="str">
        <v>待确认</v>
      </c>
      <c r="P316">
        <f>G316</f>
      </c>
      <c r="Q316" s="125"/>
      <c r="T316">
        <f>B316</f>
      </c>
      <c r="Y316" s="123"/>
      <c r="Z316" s="123"/>
      <c r="AA316" s="123"/>
      <c r="AB316" s="123"/>
      <c r="AC316" s="125"/>
      <c r="AO316">
        <f>K316</f>
      </c>
      <c r="AQ316" s="123">
        <f>AO316/(1+AP316)</f>
      </c>
      <c r="AR316">
        <f>L316</f>
      </c>
    </row>
    <row r="317">
      <c r="A317" t="str">
        <v>国内</v>
      </c>
      <c r="B317" t="str">
        <v>VA</v>
      </c>
      <c r="C317" t="str">
        <v>照明</v>
      </c>
      <c r="D317" t="str" xml:space="preserve">
        <v> </v>
      </c>
      <c r="E317" t="str" xml:space="preserve">
        <v> </v>
      </c>
      <c r="F317" t="str" xml:space="preserve">
        <v> </v>
      </c>
      <c r="G317" t="str">
        <v>UNIN2308220增补4</v>
      </c>
      <c r="H317">
        <v>20240102</v>
      </c>
      <c r="I317" t="str">
        <v>华南</v>
      </c>
      <c r="J317" t="str">
        <v>深圳</v>
      </c>
      <c r="K317" s="124">
        <v>35100</v>
      </c>
      <c r="L317" t="str">
        <v>CNY</v>
      </c>
      <c r="N317" t="str">
        <v>待确认</v>
      </c>
      <c r="P317">
        <f>G317</f>
      </c>
      <c r="Q317" s="125"/>
      <c r="T317">
        <f>B317</f>
      </c>
      <c r="Y317" s="123"/>
      <c r="Z317" s="123"/>
      <c r="AA317" s="123"/>
      <c r="AB317" s="123"/>
      <c r="AC317" s="125"/>
      <c r="AO317">
        <f>K317</f>
      </c>
      <c r="AQ317" s="123">
        <f>AO317/(1+AP317)</f>
      </c>
      <c r="AR317">
        <f>L317</f>
      </c>
    </row>
    <row r="318">
      <c r="A318" t="str">
        <v>国内</v>
      </c>
      <c r="B318" t="str">
        <v>VA</v>
      </c>
      <c r="C318" t="str">
        <v>文创</v>
      </c>
      <c r="D318" t="str" xml:space="preserve">
        <v> </v>
      </c>
      <c r="E318" t="str" xml:space="preserve">
        <v> </v>
      </c>
      <c r="F318" t="str" xml:space="preserve">
        <v> </v>
      </c>
      <c r="G318" t="str">
        <v>JW20231215-1890-1</v>
      </c>
      <c r="H318">
        <v>20240101</v>
      </c>
      <c r="I318" t="str">
        <v>西南</v>
      </c>
      <c r="J318" t="str">
        <v>四川</v>
      </c>
      <c r="K318" s="124">
        <v>1130000</v>
      </c>
      <c r="L318" t="str">
        <v>CNY</v>
      </c>
      <c r="N318" t="str">
        <v>待确认</v>
      </c>
      <c r="P318">
        <f>G318</f>
      </c>
      <c r="Q318" s="125"/>
      <c r="T318">
        <f>B318</f>
      </c>
      <c r="Y318" s="123"/>
      <c r="Z318" s="123"/>
      <c r="AA318" s="123"/>
      <c r="AB318" s="123"/>
      <c r="AC318" s="125"/>
      <c r="AO318">
        <f>K318</f>
      </c>
      <c r="AQ318" s="123">
        <f>AO318/(1+AP318)</f>
      </c>
      <c r="AR318">
        <f>L318</f>
      </c>
    </row>
    <row r="319">
      <c r="A319" t="str">
        <v>国内</v>
      </c>
      <c r="B319" t="str">
        <v>VA</v>
      </c>
      <c r="C319" t="str">
        <v>文创</v>
      </c>
      <c r="D319" t="str" xml:space="preserve">
        <v> </v>
      </c>
      <c r="E319" t="str" xml:space="preserve">
        <v> </v>
      </c>
      <c r="F319" t="str" xml:space="preserve">
        <v> </v>
      </c>
      <c r="G319" t="str">
        <v>JW20231215-1890-1</v>
      </c>
      <c r="H319">
        <v>20240101</v>
      </c>
      <c r="I319" t="str">
        <v>西南</v>
      </c>
      <c r="J319" t="str">
        <v>四川</v>
      </c>
      <c r="K319" s="124">
        <v>1130000</v>
      </c>
      <c r="L319" t="str">
        <v>CNY</v>
      </c>
      <c r="N319" t="str">
        <v>待确认</v>
      </c>
      <c r="P319">
        <f>G319</f>
      </c>
      <c r="Q319" s="125"/>
      <c r="T319">
        <f>B319</f>
      </c>
      <c r="Y319" s="123"/>
      <c r="Z319" s="123"/>
      <c r="AA319" s="123"/>
      <c r="AB319" s="123"/>
      <c r="AC319" s="125"/>
      <c r="AO319">
        <f>K319</f>
      </c>
      <c r="AQ319" s="123">
        <f>AO319/(1+AP319)</f>
      </c>
      <c r="AR319">
        <f>L319</f>
      </c>
    </row>
    <row r="320">
      <c r="A320" t="str">
        <v>国内</v>
      </c>
      <c r="B320" t="str">
        <v>VL</v>
      </c>
      <c r="C320" t="str">
        <v>新显示</v>
      </c>
      <c r="D320" t="str" xml:space="preserve">
        <v> </v>
      </c>
      <c r="E320" t="str" xml:space="preserve">
        <v> </v>
      </c>
      <c r="F320" t="str" xml:space="preserve">
        <v> </v>
      </c>
      <c r="G320" t="str">
        <v>BUPB251753D</v>
      </c>
      <c r="H320">
        <v>20250703</v>
      </c>
      <c r="I320" t="str">
        <v>华北</v>
      </c>
      <c r="J320" t="str">
        <v>北京</v>
      </c>
      <c r="K320" s="126">
        <v>-56720.4</v>
      </c>
      <c r="L320" t="str">
        <v>CNY</v>
      </c>
      <c r="N320" t="str">
        <v>待确认</v>
      </c>
      <c r="P320">
        <f>G320</f>
      </c>
      <c r="Q320" s="125"/>
      <c r="T320">
        <f>B320</f>
      </c>
      <c r="Y320" s="123"/>
      <c r="Z320" s="123"/>
      <c r="AA320" s="123"/>
      <c r="AB320" s="123"/>
      <c r="AC320" s="125"/>
      <c r="AO320">
        <f>K320</f>
      </c>
      <c r="AQ320" s="123">
        <f>AO320/(1+AP320)</f>
      </c>
      <c r="AR320">
        <f>L320</f>
      </c>
    </row>
    <row r="321">
      <c r="A321" t="str">
        <v>国内</v>
      </c>
      <c r="B321" t="str">
        <v>VL</v>
      </c>
      <c r="C321" t="str">
        <v>新显示</v>
      </c>
      <c r="D321" t="str" xml:space="preserve">
        <v> </v>
      </c>
      <c r="E321" t="str" xml:space="preserve">
        <v> </v>
      </c>
      <c r="F321" t="str" xml:space="preserve">
        <v> </v>
      </c>
      <c r="G321" t="str">
        <v>BUPB251753E</v>
      </c>
      <c r="H321">
        <v>20250703</v>
      </c>
      <c r="I321" t="str">
        <v>华北</v>
      </c>
      <c r="J321" t="str">
        <v>北京</v>
      </c>
      <c r="K321" s="126">
        <v>-34032.3</v>
      </c>
      <c r="L321" t="str">
        <v>CNY</v>
      </c>
      <c r="N321" t="str">
        <v>待确认</v>
      </c>
      <c r="P321">
        <f>G321</f>
      </c>
      <c r="Q321" s="125"/>
      <c r="T321">
        <f>B321</f>
      </c>
      <c r="Y321" s="123"/>
      <c r="Z321" s="123"/>
      <c r="AA321" s="123"/>
      <c r="AB321" s="123"/>
      <c r="AC321" s="125"/>
      <c r="AO321">
        <f>K321</f>
      </c>
      <c r="AQ321" s="123">
        <f>AO321/(1+AP321)</f>
      </c>
      <c r="AR321">
        <f>L321</f>
      </c>
    </row>
    <row r="322">
      <c r="A322" t="str">
        <v>国内</v>
      </c>
      <c r="B322" t="str">
        <v>VL</v>
      </c>
      <c r="C322" t="str">
        <v>新显示</v>
      </c>
      <c r="D322" t="str" xml:space="preserve">
        <v> </v>
      </c>
      <c r="E322" t="str" xml:space="preserve">
        <v> </v>
      </c>
      <c r="F322" t="str" xml:space="preserve">
        <v> </v>
      </c>
      <c r="G322" t="str">
        <v>BUPB251753B</v>
      </c>
      <c r="H322">
        <v>20250621</v>
      </c>
      <c r="I322" t="str">
        <v>华北</v>
      </c>
      <c r="J322" t="str">
        <v>北京</v>
      </c>
      <c r="K322" s="126">
        <v>-111171.6</v>
      </c>
      <c r="L322" t="str">
        <v>CNY</v>
      </c>
      <c r="N322" t="str">
        <v>待确认</v>
      </c>
      <c r="P322">
        <f>G322</f>
      </c>
      <c r="Q322" s="125"/>
      <c r="T322">
        <f>B322</f>
      </c>
      <c r="Y322" s="123"/>
      <c r="Z322" s="123"/>
      <c r="AA322" s="123"/>
      <c r="AB322" s="123"/>
      <c r="AC322" s="125"/>
      <c r="AO322">
        <f>K322</f>
      </c>
      <c r="AQ322" s="123">
        <f>AO322/(1+AP322)</f>
      </c>
      <c r="AR322">
        <f>L322</f>
      </c>
    </row>
    <row r="323">
      <c r="A323" t="str">
        <v>国内</v>
      </c>
      <c r="B323" t="str">
        <v>VL</v>
      </c>
      <c r="C323" t="str">
        <v>新显示</v>
      </c>
      <c r="D323" t="str" xml:space="preserve">
        <v> </v>
      </c>
      <c r="E323" t="str" xml:space="preserve">
        <v> </v>
      </c>
      <c r="F323" t="str" xml:space="preserve">
        <v> </v>
      </c>
      <c r="G323" t="str">
        <v>BUPB251753A</v>
      </c>
      <c r="H323">
        <v>20250621</v>
      </c>
      <c r="I323" t="str">
        <v>华北</v>
      </c>
      <c r="J323" t="str">
        <v>北京</v>
      </c>
      <c r="K323" s="126">
        <v>-111171.6</v>
      </c>
      <c r="L323" t="str">
        <v>CNY</v>
      </c>
      <c r="N323" t="str">
        <v>待确认</v>
      </c>
      <c r="P323">
        <f>G323</f>
      </c>
      <c r="Q323" s="125"/>
      <c r="T323">
        <f>B323</f>
      </c>
      <c r="Y323" s="123"/>
      <c r="Z323" s="123"/>
      <c r="AA323" s="123"/>
      <c r="AB323" s="123"/>
      <c r="AC323" s="125"/>
      <c r="AO323">
        <f>K323</f>
      </c>
      <c r="AQ323" s="123">
        <f>AO323/(1+AP323)</f>
      </c>
      <c r="AR323">
        <f>L323</f>
      </c>
    </row>
    <row r="324">
      <c r="A324" t="str">
        <v>国内</v>
      </c>
      <c r="B324" t="str">
        <v>VL</v>
      </c>
      <c r="C324" t="str">
        <v>新显示</v>
      </c>
      <c r="D324" t="str" xml:space="preserve">
        <v> </v>
      </c>
      <c r="E324" t="str" xml:space="preserve">
        <v> </v>
      </c>
      <c r="F324" t="str" xml:space="preserve">
        <v> </v>
      </c>
      <c r="G324" t="str">
        <v>BUPB251753C</v>
      </c>
      <c r="H324">
        <v>20250621</v>
      </c>
      <c r="I324" t="str">
        <v>华北</v>
      </c>
      <c r="J324" t="str">
        <v>北京</v>
      </c>
      <c r="K324" s="126">
        <v>-39704.1</v>
      </c>
      <c r="L324" t="str">
        <v>CNY</v>
      </c>
      <c r="N324" t="str">
        <v>待确认</v>
      </c>
      <c r="P324">
        <f>G324</f>
      </c>
      <c r="Q324" s="125"/>
      <c r="T324">
        <f>B324</f>
      </c>
      <c r="Y324" s="123"/>
      <c r="Z324" s="123"/>
      <c r="AA324" s="123"/>
      <c r="AB324" s="123"/>
      <c r="AC324" s="125"/>
      <c r="AO324">
        <f>K324</f>
      </c>
      <c r="AQ324" s="123">
        <f>AO324/(1+AP324)</f>
      </c>
      <c r="AR324">
        <f>L324</f>
      </c>
    </row>
    <row r="325">
      <c r="A325" t="str">
        <v>国内</v>
      </c>
      <c r="B325" t="str">
        <v>VL</v>
      </c>
      <c r="C325" t="str">
        <v>文创</v>
      </c>
      <c r="D325" t="str" xml:space="preserve">
        <v> </v>
      </c>
      <c r="E325" t="str" xml:space="preserve">
        <v> </v>
      </c>
      <c r="F325" t="str" xml:space="preserve">
        <v> </v>
      </c>
      <c r="G325" t="str">
        <v>JW20240509-1929</v>
      </c>
      <c r="H325">
        <v>20241008</v>
      </c>
      <c r="I325" t="str">
        <v>华北</v>
      </c>
      <c r="J325" t="str">
        <v>北京</v>
      </c>
      <c r="K325" s="124">
        <v>213850</v>
      </c>
      <c r="L325" t="str">
        <v>CNY</v>
      </c>
      <c r="N325" t="str">
        <v>待确认</v>
      </c>
      <c r="P325">
        <f>G325</f>
      </c>
      <c r="Q325" s="125"/>
      <c r="T325">
        <f>B325</f>
      </c>
      <c r="Y325" s="123"/>
      <c r="Z325" s="123"/>
      <c r="AA325" s="123"/>
      <c r="AB325" s="123"/>
      <c r="AC325" s="125"/>
      <c r="AO325">
        <f>K325</f>
      </c>
      <c r="AQ325" s="123">
        <f>AO325/(1+AP325)</f>
      </c>
      <c r="AR325">
        <f>L325</f>
      </c>
    </row>
    <row r="326">
      <c r="A326" t="str">
        <v>国内</v>
      </c>
      <c r="B326" t="str">
        <v>VL</v>
      </c>
      <c r="C326" t="str">
        <v>文创</v>
      </c>
      <c r="D326" t="str" xml:space="preserve">
        <v> </v>
      </c>
      <c r="E326" t="str" xml:space="preserve">
        <v> </v>
      </c>
      <c r="F326" t="str" xml:space="preserve">
        <v> </v>
      </c>
      <c r="G326" t="str">
        <v>JW20240509-1930</v>
      </c>
      <c r="H326">
        <v>20241008</v>
      </c>
      <c r="I326" t="str">
        <v>华北</v>
      </c>
      <c r="J326" t="str">
        <v>北京</v>
      </c>
      <c r="K326" s="124">
        <v>195490</v>
      </c>
      <c r="L326" t="str">
        <v>CNY</v>
      </c>
      <c r="N326" t="str">
        <v>待确认</v>
      </c>
      <c r="P326">
        <f>G326</f>
      </c>
      <c r="Q326" s="125"/>
      <c r="T326">
        <f>B326</f>
      </c>
      <c r="Y326" s="123"/>
      <c r="Z326" s="123"/>
      <c r="AA326" s="123"/>
      <c r="AB326" s="123"/>
      <c r="AC326" s="125"/>
      <c r="AO326">
        <f>K326</f>
      </c>
      <c r="AQ326" s="123">
        <f>AO326/(1+AP326)</f>
      </c>
      <c r="AR326">
        <f>L326</f>
      </c>
    </row>
    <row r="327">
      <c r="A327" t="str">
        <v>国内</v>
      </c>
      <c r="B327" t="str">
        <v>VL</v>
      </c>
      <c r="C327" t="str">
        <v>文创</v>
      </c>
      <c r="D327" t="str" xml:space="preserve">
        <v> </v>
      </c>
      <c r="E327" t="str" xml:space="preserve">
        <v> </v>
      </c>
      <c r="F327" t="str" xml:space="preserve">
        <v> </v>
      </c>
      <c r="G327" t="str">
        <v>JW20240821-1965</v>
      </c>
      <c r="H327">
        <v>20240925</v>
      </c>
      <c r="I327" t="str">
        <v>华南</v>
      </c>
      <c r="J327" t="str">
        <v>深圳</v>
      </c>
      <c r="K327" s="124">
        <v>38000</v>
      </c>
      <c r="L327" t="str">
        <v>CNY</v>
      </c>
      <c r="N327" t="str">
        <v>待确认</v>
      </c>
      <c r="P327">
        <f>G327</f>
      </c>
      <c r="Q327" s="125"/>
      <c r="T327">
        <f>B327</f>
      </c>
      <c r="Y327" s="123"/>
      <c r="Z327" s="123"/>
      <c r="AA327" s="123"/>
      <c r="AB327" s="123"/>
      <c r="AC327" s="125"/>
      <c r="AO327">
        <f>K327</f>
      </c>
      <c r="AQ327" s="123">
        <f>AO327/(1+AP327)</f>
      </c>
      <c r="AR327">
        <f>L327</f>
      </c>
    </row>
    <row r="328">
      <c r="A328" t="str">
        <v>国内</v>
      </c>
      <c r="B328" t="str">
        <v>VL</v>
      </c>
      <c r="C328" t="str">
        <v>文创</v>
      </c>
      <c r="D328" t="str" xml:space="preserve">
        <v> </v>
      </c>
      <c r="E328" t="str" xml:space="preserve">
        <v> </v>
      </c>
      <c r="F328" t="str" xml:space="preserve">
        <v> </v>
      </c>
      <c r="G328" t="str">
        <v>JW20240726-1957</v>
      </c>
      <c r="H328">
        <v>20240924</v>
      </c>
      <c r="I328" t="str">
        <v>华北</v>
      </c>
      <c r="J328" t="str">
        <v>天津</v>
      </c>
      <c r="K328" s="126">
        <v>1563472.41</v>
      </c>
      <c r="L328" t="str">
        <v>CNY</v>
      </c>
      <c r="N328" t="str">
        <v>待确认</v>
      </c>
      <c r="P328">
        <f>G328</f>
      </c>
      <c r="Q328" s="125"/>
      <c r="T328">
        <f>B328</f>
      </c>
      <c r="Y328" s="123"/>
      <c r="Z328" s="123"/>
      <c r="AA328" s="123"/>
      <c r="AB328" s="123"/>
      <c r="AC328" s="125"/>
      <c r="AO328">
        <f>K328</f>
      </c>
      <c r="AQ328" s="123">
        <f>AO328/(1+AP328)</f>
      </c>
      <c r="AR328">
        <f>L328</f>
      </c>
    </row>
    <row r="329">
      <c r="A329" t="str">
        <v>国内</v>
      </c>
      <c r="B329" t="str">
        <v>VL</v>
      </c>
      <c r="C329" t="str">
        <v>文创</v>
      </c>
      <c r="D329" t="str" xml:space="preserve">
        <v> </v>
      </c>
      <c r="E329" t="str" xml:space="preserve">
        <v> </v>
      </c>
      <c r="F329" t="str" xml:space="preserve">
        <v> </v>
      </c>
      <c r="G329" t="str">
        <v>JW20240718-1953</v>
      </c>
      <c r="H329">
        <v>20240918</v>
      </c>
      <c r="I329" t="str">
        <v>华南</v>
      </c>
      <c r="J329" t="str">
        <v>深圳</v>
      </c>
      <c r="K329" s="126">
        <v>793877.8</v>
      </c>
      <c r="L329" t="str">
        <v>CNY</v>
      </c>
      <c r="N329" t="str">
        <v>待确认</v>
      </c>
      <c r="P329">
        <f>G329</f>
      </c>
      <c r="Q329" s="125"/>
      <c r="T329">
        <f>B329</f>
      </c>
      <c r="Y329" s="123"/>
      <c r="Z329" s="123"/>
      <c r="AA329" s="123"/>
      <c r="AB329" s="123"/>
      <c r="AC329" s="125"/>
      <c r="AO329">
        <f>K329</f>
      </c>
      <c r="AQ329" s="123">
        <f>AO329/(1+AP329)</f>
      </c>
      <c r="AR329">
        <f>L329</f>
      </c>
    </row>
    <row r="330">
      <c r="A330" t="str">
        <v>国内</v>
      </c>
      <c r="B330" t="str">
        <v>VL</v>
      </c>
      <c r="C330" t="str">
        <v>文创</v>
      </c>
      <c r="D330" t="str" xml:space="preserve">
        <v> </v>
      </c>
      <c r="E330" t="str" xml:space="preserve">
        <v> </v>
      </c>
      <c r="F330" t="str" xml:space="preserve">
        <v> </v>
      </c>
      <c r="G330" t="str">
        <v>OP2024070354</v>
      </c>
      <c r="H330">
        <v>20240826</v>
      </c>
      <c r="I330" t="str">
        <v>华东</v>
      </c>
      <c r="J330" t="str">
        <v>上海</v>
      </c>
      <c r="K330" s="124">
        <v>108500</v>
      </c>
      <c r="L330" t="str">
        <v>CNY</v>
      </c>
      <c r="N330" t="str">
        <v>待确认</v>
      </c>
      <c r="P330">
        <f>G330</f>
      </c>
      <c r="Q330" s="125"/>
      <c r="T330">
        <f>B330</f>
      </c>
      <c r="Y330" s="123"/>
      <c r="Z330" s="123"/>
      <c r="AA330" s="123"/>
      <c r="AB330" s="123"/>
      <c r="AC330" s="125"/>
      <c r="AO330">
        <f>K330</f>
      </c>
      <c r="AQ330" s="123">
        <f>AO330/(1+AP330)</f>
      </c>
      <c r="AR330">
        <f>L330</f>
      </c>
    </row>
    <row r="331">
      <c r="A331" t="str">
        <v>国内</v>
      </c>
      <c r="B331" t="str">
        <v>VL</v>
      </c>
      <c r="C331" t="str">
        <v>文创</v>
      </c>
      <c r="D331" t="str" xml:space="preserve">
        <v> </v>
      </c>
      <c r="E331" t="str" xml:space="preserve">
        <v> </v>
      </c>
      <c r="F331" t="str" xml:space="preserve">
        <v> </v>
      </c>
      <c r="G331" t="str">
        <v>OP2024070354</v>
      </c>
      <c r="H331">
        <v>20240826</v>
      </c>
      <c r="I331" t="str">
        <v>华东</v>
      </c>
      <c r="J331" t="str">
        <v>浙江</v>
      </c>
      <c r="K331" s="124">
        <v>46500</v>
      </c>
      <c r="L331" t="str">
        <v>CNY</v>
      </c>
      <c r="N331" t="str">
        <v>待确认</v>
      </c>
      <c r="P331">
        <f>G331</f>
      </c>
      <c r="Q331" s="125"/>
      <c r="T331">
        <f>B331</f>
      </c>
      <c r="Y331" s="123"/>
      <c r="Z331" s="123"/>
      <c r="AA331" s="123"/>
      <c r="AB331" s="123"/>
      <c r="AC331" s="125"/>
      <c r="AO331">
        <f>K331</f>
      </c>
      <c r="AQ331" s="123">
        <f>AO331/(1+AP331)</f>
      </c>
      <c r="AR331">
        <f>L331</f>
      </c>
    </row>
    <row r="332">
      <c r="A332" t="str">
        <v>国内</v>
      </c>
      <c r="B332" t="str">
        <v>VL</v>
      </c>
      <c r="C332" t="str">
        <v>文创</v>
      </c>
      <c r="D332" t="str" xml:space="preserve">
        <v> </v>
      </c>
      <c r="E332" t="str" xml:space="preserve">
        <v> </v>
      </c>
      <c r="F332" t="str" xml:space="preserve">
        <v> </v>
      </c>
      <c r="G332" t="str">
        <v>JW20190923-1626售后维修</v>
      </c>
      <c r="H332">
        <v>20240814</v>
      </c>
      <c r="I332" t="str">
        <v>华东</v>
      </c>
      <c r="J332" t="str">
        <v>上海</v>
      </c>
      <c r="K332" s="124">
        <v>16152</v>
      </c>
      <c r="L332" t="str">
        <v>CNY</v>
      </c>
      <c r="N332" t="str">
        <v>待确认</v>
      </c>
      <c r="P332">
        <f>G332</f>
      </c>
      <c r="Q332" s="125"/>
      <c r="T332">
        <f>B332</f>
      </c>
      <c r="Y332" s="123"/>
      <c r="Z332" s="123"/>
      <c r="AA332" s="123"/>
      <c r="AB332" s="123"/>
      <c r="AC332" s="125"/>
      <c r="AO332">
        <f>K332</f>
      </c>
      <c r="AQ332" s="123">
        <f>AO332/(1+AP332)</f>
      </c>
      <c r="AR332">
        <f>L332</f>
      </c>
    </row>
    <row r="333">
      <c r="A333" t="str">
        <v>国内</v>
      </c>
      <c r="B333" t="str">
        <v>VL</v>
      </c>
      <c r="C333" t="str">
        <v>文创</v>
      </c>
      <c r="D333" t="str" xml:space="preserve">
        <v> </v>
      </c>
      <c r="E333" t="str" xml:space="preserve">
        <v> </v>
      </c>
      <c r="F333" t="str" xml:space="preserve">
        <v> </v>
      </c>
      <c r="G333" t="str">
        <v>JW20240708-1948</v>
      </c>
      <c r="H333">
        <v>20240725</v>
      </c>
      <c r="I333" t="str">
        <v>西北</v>
      </c>
      <c r="J333" t="str">
        <v>新疆</v>
      </c>
      <c r="K333" s="124">
        <v>228235</v>
      </c>
      <c r="L333" t="str">
        <v>CNY</v>
      </c>
      <c r="N333" t="str">
        <v>待确认</v>
      </c>
      <c r="P333">
        <f>G333</f>
      </c>
      <c r="Q333" s="125"/>
      <c r="T333">
        <f>B333</f>
      </c>
      <c r="Y333" s="123"/>
      <c r="Z333" s="123"/>
      <c r="AA333" s="123"/>
      <c r="AB333" s="123"/>
      <c r="AC333" s="125"/>
      <c r="AO333">
        <f>K333</f>
      </c>
      <c r="AQ333" s="123">
        <f>AO333/(1+AP333)</f>
      </c>
      <c r="AR333">
        <f>L333</f>
      </c>
    </row>
    <row r="334">
      <c r="A334" t="str">
        <v>国内</v>
      </c>
      <c r="B334" t="str">
        <v>VL</v>
      </c>
      <c r="C334" t="str">
        <v>文创</v>
      </c>
      <c r="D334" t="str" xml:space="preserve">
        <v> </v>
      </c>
      <c r="E334" t="str" xml:space="preserve">
        <v> </v>
      </c>
      <c r="F334" t="str" xml:space="preserve">
        <v> </v>
      </c>
      <c r="G334" t="str">
        <v>OP2024060352</v>
      </c>
      <c r="H334">
        <v>20240721</v>
      </c>
      <c r="I334" t="str">
        <v>华北</v>
      </c>
      <c r="J334" t="str">
        <v>北京</v>
      </c>
      <c r="K334" s="124">
        <v>37000</v>
      </c>
      <c r="L334" t="str">
        <v>CNY</v>
      </c>
      <c r="N334" t="str">
        <v>待确认</v>
      </c>
      <c r="P334">
        <f>G334</f>
      </c>
      <c r="Q334" s="125"/>
      <c r="T334">
        <f>B334</f>
      </c>
      <c r="Y334" s="123"/>
      <c r="Z334" s="123"/>
      <c r="AA334" s="123"/>
      <c r="AB334" s="123"/>
      <c r="AC334" s="125"/>
      <c r="AO334">
        <f>K334</f>
      </c>
      <c r="AQ334" s="123">
        <f>AO334/(1+AP334)</f>
      </c>
      <c r="AR334">
        <f>L334</f>
      </c>
    </row>
    <row r="335">
      <c r="A335" t="str">
        <v>国内</v>
      </c>
      <c r="B335" t="str">
        <v>VL</v>
      </c>
      <c r="C335" t="str">
        <v>文创</v>
      </c>
      <c r="D335" t="str" xml:space="preserve">
        <v> </v>
      </c>
      <c r="E335" t="str" xml:space="preserve">
        <v> </v>
      </c>
      <c r="F335" t="str" xml:space="preserve">
        <v> </v>
      </c>
      <c r="G335" t="str">
        <v>OP2023120343-增补2</v>
      </c>
      <c r="H335">
        <v>20240721</v>
      </c>
      <c r="I335" t="str">
        <v>华东</v>
      </c>
      <c r="J335" t="str">
        <v>浙江</v>
      </c>
      <c r="K335" s="124">
        <v>40200</v>
      </c>
      <c r="L335" t="str">
        <v>CNY</v>
      </c>
      <c r="N335" t="str">
        <v>待确认</v>
      </c>
      <c r="P335">
        <f>G335</f>
      </c>
      <c r="Q335" s="125"/>
      <c r="T335">
        <f>B335</f>
      </c>
      <c r="Y335" s="123"/>
      <c r="Z335" s="123"/>
      <c r="AA335" s="123"/>
      <c r="AB335" s="123"/>
      <c r="AC335" s="125"/>
      <c r="AO335">
        <f>K335</f>
      </c>
      <c r="AQ335" s="123">
        <f>AO335/(1+AP335)</f>
      </c>
      <c r="AR335">
        <f>L335</f>
      </c>
    </row>
    <row r="336">
      <c r="A336" t="str">
        <v>国内</v>
      </c>
      <c r="B336" t="str">
        <v>VL</v>
      </c>
      <c r="C336" t="str">
        <v>文创</v>
      </c>
      <c r="D336" t="str" xml:space="preserve">
        <v> </v>
      </c>
      <c r="E336" t="str" xml:space="preserve">
        <v> </v>
      </c>
      <c r="F336" t="str" xml:space="preserve">
        <v> </v>
      </c>
      <c r="G336" t="str">
        <v>OP2023120343-增补2</v>
      </c>
      <c r="H336">
        <v>20240721</v>
      </c>
      <c r="I336" t="str">
        <v>华东</v>
      </c>
      <c r="J336" t="str">
        <v>浙江</v>
      </c>
      <c r="K336" s="124">
        <v>40200</v>
      </c>
      <c r="L336" t="str">
        <v>CNY</v>
      </c>
      <c r="N336" t="str">
        <v>待确认</v>
      </c>
      <c r="P336">
        <f>G336</f>
      </c>
      <c r="Q336" s="125"/>
      <c r="T336">
        <f>B336</f>
      </c>
      <c r="Y336" s="123"/>
      <c r="Z336" s="123"/>
      <c r="AA336" s="123"/>
      <c r="AB336" s="123"/>
      <c r="AC336" s="125"/>
      <c r="AO336">
        <f>K336</f>
      </c>
      <c r="AQ336" s="123">
        <f>AO336/(1+AP336)</f>
      </c>
      <c r="AR336">
        <f>L336</f>
      </c>
    </row>
    <row r="337">
      <c r="A337" t="str">
        <v>国内</v>
      </c>
      <c r="B337" t="str">
        <v>VL</v>
      </c>
      <c r="C337" t="str">
        <v>文创</v>
      </c>
      <c r="D337" t="str" xml:space="preserve">
        <v> </v>
      </c>
      <c r="E337" t="str" xml:space="preserve">
        <v> </v>
      </c>
      <c r="F337" t="str" xml:space="preserve">
        <v> </v>
      </c>
      <c r="G337" t="str">
        <v>OP2024060352</v>
      </c>
      <c r="H337">
        <v>20240721</v>
      </c>
      <c r="I337" t="str">
        <v>华北</v>
      </c>
      <c r="J337" t="str">
        <v>北京</v>
      </c>
      <c r="K337" s="124">
        <v>37000</v>
      </c>
      <c r="L337" t="str">
        <v>CNY</v>
      </c>
      <c r="N337" t="str">
        <v>待确认</v>
      </c>
      <c r="P337">
        <f>G337</f>
      </c>
      <c r="Q337" s="125"/>
      <c r="T337">
        <f>B337</f>
      </c>
      <c r="Y337" s="123"/>
      <c r="Z337" s="123"/>
      <c r="AA337" s="123"/>
      <c r="AB337" s="123"/>
      <c r="AC337" s="125"/>
      <c r="AO337">
        <f>K337</f>
      </c>
      <c r="AQ337" s="123">
        <f>AO337/(1+AP337)</f>
      </c>
      <c r="AR337">
        <f>L337</f>
      </c>
    </row>
    <row r="338">
      <c r="A338" t="str">
        <v>国内</v>
      </c>
      <c r="B338" t="str">
        <v>VL</v>
      </c>
      <c r="C338" t="str">
        <v>文创</v>
      </c>
      <c r="D338" t="str" xml:space="preserve">
        <v> </v>
      </c>
      <c r="E338" t="str" xml:space="preserve">
        <v> </v>
      </c>
      <c r="F338" t="str" xml:space="preserve">
        <v> </v>
      </c>
      <c r="G338" t="str">
        <v>JW20240328-1915</v>
      </c>
      <c r="H338">
        <v>20240718</v>
      </c>
      <c r="I338" t="str">
        <v>华东</v>
      </c>
      <c r="J338" t="str">
        <v>上海</v>
      </c>
      <c r="K338" s="124">
        <v>295870</v>
      </c>
      <c r="L338" t="str">
        <v>CNY</v>
      </c>
      <c r="N338" t="str">
        <v>待确认</v>
      </c>
      <c r="P338">
        <f>G338</f>
      </c>
      <c r="Q338" s="125"/>
      <c r="T338">
        <f>B338</f>
      </c>
      <c r="Y338" s="123"/>
      <c r="Z338" s="123"/>
      <c r="AA338" s="123"/>
      <c r="AB338" s="123"/>
      <c r="AC338" s="125"/>
      <c r="AO338">
        <f>K338</f>
      </c>
      <c r="AQ338" s="123">
        <f>AO338/(1+AP338)</f>
      </c>
      <c r="AR338">
        <f>L338</f>
      </c>
    </row>
    <row r="339">
      <c r="A339" t="str">
        <v>国内</v>
      </c>
      <c r="B339" t="str">
        <v>VL</v>
      </c>
      <c r="C339" t="str">
        <v>文创</v>
      </c>
      <c r="D339" t="str" xml:space="preserve">
        <v> </v>
      </c>
      <c r="E339" t="str" xml:space="preserve">
        <v> </v>
      </c>
      <c r="F339" t="str" xml:space="preserve">
        <v> </v>
      </c>
      <c r="G339" t="str">
        <v>JW20240412-1923-增补</v>
      </c>
      <c r="H339">
        <v>20240718</v>
      </c>
      <c r="I339" t="str">
        <v>华北</v>
      </c>
      <c r="J339" t="str">
        <v>北京</v>
      </c>
      <c r="K339" s="124">
        <v>245000</v>
      </c>
      <c r="L339" t="str">
        <v>CNY</v>
      </c>
      <c r="N339" t="str">
        <v>待确认</v>
      </c>
      <c r="P339">
        <f>G339</f>
      </c>
      <c r="Q339" s="125"/>
      <c r="T339">
        <f>B339</f>
      </c>
      <c r="Y339" s="123"/>
      <c r="Z339" s="123"/>
      <c r="AA339" s="123"/>
      <c r="AB339" s="123"/>
      <c r="AC339" s="125"/>
      <c r="AO339">
        <f>K339</f>
      </c>
      <c r="AQ339" s="123">
        <f>AO339/(1+AP339)</f>
      </c>
      <c r="AR339">
        <f>L339</f>
      </c>
    </row>
    <row r="340">
      <c r="A340" t="str">
        <v>国内</v>
      </c>
      <c r="B340" t="str">
        <v>VL</v>
      </c>
      <c r="C340" t="str">
        <v>文创</v>
      </c>
      <c r="D340" t="str" xml:space="preserve">
        <v> </v>
      </c>
      <c r="E340" t="str" xml:space="preserve">
        <v> </v>
      </c>
      <c r="F340" t="str" xml:space="preserve">
        <v> </v>
      </c>
      <c r="G340" t="str">
        <v>JW20190923-1626售后维修</v>
      </c>
      <c r="H340">
        <v>20240718</v>
      </c>
      <c r="I340" t="str">
        <v>华东</v>
      </c>
      <c r="J340" t="str">
        <v>上海</v>
      </c>
      <c r="K340" s="124">
        <v>25952</v>
      </c>
      <c r="L340" t="str">
        <v>CNY</v>
      </c>
      <c r="N340" t="str">
        <v>待确认</v>
      </c>
      <c r="P340">
        <f>G340</f>
      </c>
      <c r="Q340" s="125"/>
      <c r="T340">
        <f>B340</f>
      </c>
      <c r="Y340" s="123"/>
      <c r="Z340" s="123"/>
      <c r="AA340" s="123"/>
      <c r="AB340" s="123"/>
      <c r="AC340" s="125"/>
      <c r="AO340">
        <f>K340</f>
      </c>
      <c r="AQ340" s="123">
        <f>AO340/(1+AP340)</f>
      </c>
      <c r="AR340">
        <f>L340</f>
      </c>
    </row>
    <row r="341">
      <c r="A341" t="str">
        <v>国内</v>
      </c>
      <c r="B341" t="str">
        <v>VL</v>
      </c>
      <c r="C341" t="str">
        <v>文创</v>
      </c>
      <c r="D341" t="str" xml:space="preserve">
        <v> </v>
      </c>
      <c r="E341" t="str" xml:space="preserve">
        <v> </v>
      </c>
      <c r="F341" t="str" xml:space="preserve">
        <v> </v>
      </c>
      <c r="G341" t="str">
        <v>JW20240412-1923-增补</v>
      </c>
      <c r="H341">
        <v>20240718</v>
      </c>
      <c r="I341" t="str">
        <v>华东</v>
      </c>
      <c r="J341" t="str">
        <v>浙江</v>
      </c>
      <c r="K341" s="124">
        <v>105000</v>
      </c>
      <c r="L341" t="str">
        <v>CNY</v>
      </c>
      <c r="N341" t="str">
        <v>待确认</v>
      </c>
      <c r="P341">
        <f>G341</f>
      </c>
      <c r="Q341" s="125"/>
      <c r="T341">
        <f>B341</f>
      </c>
      <c r="Y341" s="123"/>
      <c r="Z341" s="123"/>
      <c r="AA341" s="123"/>
      <c r="AB341" s="123"/>
      <c r="AC341" s="125"/>
      <c r="AO341">
        <f>K341</f>
      </c>
      <c r="AQ341" s="123">
        <f>AO341/(1+AP341)</f>
      </c>
      <c r="AR341">
        <f>L341</f>
      </c>
    </row>
    <row r="342">
      <c r="A342" t="str">
        <v>国内</v>
      </c>
      <c r="B342" t="str">
        <v>VL</v>
      </c>
      <c r="C342" t="str">
        <v>文创</v>
      </c>
      <c r="D342" t="str" xml:space="preserve">
        <v> </v>
      </c>
      <c r="E342" t="str" xml:space="preserve">
        <v> </v>
      </c>
      <c r="F342" t="str" xml:space="preserve">
        <v> </v>
      </c>
      <c r="G342" t="str">
        <v>JW20190923-1626售后维修</v>
      </c>
      <c r="H342">
        <v>20240718</v>
      </c>
      <c r="I342" t="str">
        <v>华东</v>
      </c>
      <c r="J342" t="str">
        <v>上海</v>
      </c>
      <c r="K342" s="124">
        <v>25952</v>
      </c>
      <c r="L342" t="str">
        <v>CNY</v>
      </c>
      <c r="N342" t="str">
        <v>待确认</v>
      </c>
      <c r="P342">
        <f>G342</f>
      </c>
      <c r="Q342" s="125"/>
      <c r="T342">
        <f>B342</f>
      </c>
      <c r="Y342" s="123"/>
      <c r="Z342" s="123"/>
      <c r="AA342" s="123"/>
      <c r="AB342" s="123"/>
      <c r="AC342" s="125"/>
      <c r="AO342">
        <f>K342</f>
      </c>
      <c r="AQ342" s="123">
        <f>AO342/(1+AP342)</f>
      </c>
      <c r="AR342">
        <f>L342</f>
      </c>
    </row>
    <row r="343">
      <c r="A343" t="str">
        <v>国内</v>
      </c>
      <c r="B343" t="str">
        <v>VL</v>
      </c>
      <c r="C343" t="str">
        <v>文创</v>
      </c>
      <c r="D343" t="str" xml:space="preserve">
        <v> </v>
      </c>
      <c r="E343" t="str" xml:space="preserve">
        <v> </v>
      </c>
      <c r="F343" t="str" xml:space="preserve">
        <v> </v>
      </c>
      <c r="G343" t="str">
        <v>JW20240328-1915</v>
      </c>
      <c r="H343">
        <v>20240718</v>
      </c>
      <c r="I343" t="str">
        <v>华东</v>
      </c>
      <c r="J343" t="str">
        <v>上海</v>
      </c>
      <c r="K343" s="124">
        <v>295870</v>
      </c>
      <c r="L343" t="str">
        <v>CNY</v>
      </c>
      <c r="N343" t="str">
        <v>待确认</v>
      </c>
      <c r="P343">
        <f>G343</f>
      </c>
      <c r="Q343" s="125"/>
      <c r="T343">
        <f>B343</f>
      </c>
      <c r="Y343" s="123"/>
      <c r="Z343" s="123"/>
      <c r="AA343" s="123"/>
      <c r="AB343" s="123"/>
      <c r="AC343" s="125"/>
      <c r="AO343">
        <f>K343</f>
      </c>
      <c r="AQ343" s="123">
        <f>AO343/(1+AP343)</f>
      </c>
      <c r="AR343">
        <f>L343</f>
      </c>
    </row>
    <row r="344">
      <c r="A344" t="str">
        <v>国内</v>
      </c>
      <c r="B344" t="str">
        <v>VL</v>
      </c>
      <c r="C344" t="str">
        <v>文创</v>
      </c>
      <c r="D344" t="str" xml:space="preserve">
        <v> </v>
      </c>
      <c r="E344" t="str" xml:space="preserve">
        <v> </v>
      </c>
      <c r="F344" t="str" xml:space="preserve">
        <v> </v>
      </c>
      <c r="G344" t="str">
        <v>JW20240412-1923-增补</v>
      </c>
      <c r="H344">
        <v>20240718</v>
      </c>
      <c r="I344" t="str">
        <v>华北</v>
      </c>
      <c r="J344" t="str">
        <v>北京</v>
      </c>
      <c r="K344" s="124">
        <v>245000</v>
      </c>
      <c r="L344" t="str">
        <v>CNY</v>
      </c>
      <c r="N344" t="str">
        <v>待确认</v>
      </c>
      <c r="P344">
        <f>G344</f>
      </c>
      <c r="Q344" s="125"/>
      <c r="T344">
        <f>B344</f>
      </c>
      <c r="Y344" s="123"/>
      <c r="Z344" s="123"/>
      <c r="AA344" s="123"/>
      <c r="AB344" s="123"/>
      <c r="AC344" s="125"/>
      <c r="AO344">
        <f>K344</f>
      </c>
      <c r="AQ344" s="123">
        <f>AO344/(1+AP344)</f>
      </c>
      <c r="AR344">
        <f>L344</f>
      </c>
    </row>
    <row r="345">
      <c r="A345" t="str">
        <v>国内</v>
      </c>
      <c r="B345" t="str">
        <v>VL</v>
      </c>
      <c r="C345" t="str">
        <v>文创</v>
      </c>
      <c r="D345" t="str" xml:space="preserve">
        <v> </v>
      </c>
      <c r="E345" t="str" xml:space="preserve">
        <v> </v>
      </c>
      <c r="F345" t="str" xml:space="preserve">
        <v> </v>
      </c>
      <c r="G345" t="str">
        <v>JW20240412-1923-增补</v>
      </c>
      <c r="H345">
        <v>20240718</v>
      </c>
      <c r="I345" t="str">
        <v>华东</v>
      </c>
      <c r="J345" t="str">
        <v>浙江</v>
      </c>
      <c r="K345" s="124">
        <v>105000</v>
      </c>
      <c r="L345" t="str">
        <v>CNY</v>
      </c>
      <c r="N345" t="str">
        <v>待确认</v>
      </c>
      <c r="P345">
        <f>G345</f>
      </c>
      <c r="Q345" s="125"/>
      <c r="T345">
        <f>B345</f>
      </c>
      <c r="Y345" s="123"/>
      <c r="Z345" s="123"/>
      <c r="AA345" s="123"/>
      <c r="AB345" s="123"/>
      <c r="AC345" s="125"/>
      <c r="AO345">
        <f>K345</f>
      </c>
      <c r="AQ345" s="123">
        <f>AO345/(1+AP345)</f>
      </c>
      <c r="AR345">
        <f>L345</f>
      </c>
    </row>
    <row r="346">
      <c r="A346" t="str">
        <v>国内</v>
      </c>
      <c r="B346" t="str">
        <v>VL</v>
      </c>
      <c r="C346" t="str">
        <v>文创</v>
      </c>
      <c r="D346" t="str" xml:space="preserve">
        <v> </v>
      </c>
      <c r="E346" t="str" xml:space="preserve">
        <v> </v>
      </c>
      <c r="F346" t="str" xml:space="preserve">
        <v> </v>
      </c>
      <c r="G346" t="str">
        <v>JW20231115-1876-增补</v>
      </c>
      <c r="H346">
        <v>20240710</v>
      </c>
      <c r="I346" t="str">
        <v>华东</v>
      </c>
      <c r="J346" t="str">
        <v>江苏</v>
      </c>
      <c r="K346" s="124">
        <v>350</v>
      </c>
      <c r="L346" t="str">
        <v>CNY</v>
      </c>
      <c r="N346" t="str">
        <v>待确认</v>
      </c>
      <c r="P346">
        <f>G346</f>
      </c>
      <c r="Q346" s="125"/>
      <c r="T346">
        <f>B346</f>
      </c>
      <c r="Y346" s="123"/>
      <c r="Z346" s="123"/>
      <c r="AA346" s="123"/>
      <c r="AB346" s="123"/>
      <c r="AC346" s="125"/>
      <c r="AO346">
        <f>K346</f>
      </c>
      <c r="AQ346" s="123">
        <f>AO346/(1+AP346)</f>
      </c>
      <c r="AR346">
        <f>L346</f>
      </c>
    </row>
    <row r="347">
      <c r="A347" t="str">
        <v>国内</v>
      </c>
      <c r="B347" t="str">
        <v>VL</v>
      </c>
      <c r="C347" t="str">
        <v>文创</v>
      </c>
      <c r="D347" t="str" xml:space="preserve">
        <v> </v>
      </c>
      <c r="E347" t="str" xml:space="preserve">
        <v> </v>
      </c>
      <c r="F347" t="str" xml:space="preserve">
        <v> </v>
      </c>
      <c r="G347" t="str">
        <v>JW20231115-1876-增补</v>
      </c>
      <c r="H347">
        <v>20240710</v>
      </c>
      <c r="I347" t="str">
        <v>华东</v>
      </c>
      <c r="J347" t="str">
        <v>江苏</v>
      </c>
      <c r="K347">
        <v>350</v>
      </c>
      <c r="L347" t="str">
        <v>CNY</v>
      </c>
      <c r="N347" t="str">
        <v>待确认</v>
      </c>
      <c r="P347">
        <f>G347</f>
      </c>
      <c r="Q347" s="125"/>
      <c r="T347">
        <f>B347</f>
      </c>
      <c r="Y347" s="123"/>
      <c r="Z347" s="123"/>
      <c r="AA347" s="123"/>
      <c r="AB347" s="123"/>
      <c r="AC347" s="125"/>
      <c r="AO347">
        <f>K347</f>
      </c>
      <c r="AQ347" s="123">
        <f>AO347/(1+AP347)</f>
      </c>
      <c r="AR347">
        <f>L347</f>
      </c>
    </row>
    <row r="348">
      <c r="A348" t="str">
        <v>国内</v>
      </c>
      <c r="B348" t="str">
        <v>VL</v>
      </c>
      <c r="C348" t="str">
        <v>文创</v>
      </c>
      <c r="D348" t="str" xml:space="preserve">
        <v> </v>
      </c>
      <c r="E348" t="str" xml:space="preserve">
        <v> </v>
      </c>
      <c r="F348" t="str" xml:space="preserve">
        <v> </v>
      </c>
      <c r="G348" t="str">
        <v>JW20231106-1873</v>
      </c>
      <c r="H348">
        <v>20240513</v>
      </c>
      <c r="I348" t="str">
        <v>华东</v>
      </c>
      <c r="J348" t="str">
        <v>上海</v>
      </c>
      <c r="K348" s="124">
        <v>745000</v>
      </c>
      <c r="L348" t="str">
        <v>CNY</v>
      </c>
      <c r="N348" t="str">
        <v>待确认</v>
      </c>
      <c r="P348">
        <f>G348</f>
      </c>
      <c r="Q348" s="125"/>
      <c r="T348">
        <f>B348</f>
      </c>
      <c r="Y348" s="123"/>
      <c r="Z348" s="123"/>
      <c r="AA348" s="123"/>
      <c r="AB348" s="123"/>
      <c r="AC348" s="125"/>
      <c r="AO348">
        <f>K348</f>
      </c>
      <c r="AQ348" s="123">
        <f>AO348/(1+AP348)</f>
      </c>
      <c r="AR348">
        <f>L348</f>
      </c>
    </row>
    <row r="349">
      <c r="A349" t="str">
        <v>国内</v>
      </c>
      <c r="B349" t="str">
        <v>VL</v>
      </c>
      <c r="C349" t="str">
        <v>文创</v>
      </c>
      <c r="D349" t="str" xml:space="preserve">
        <v> </v>
      </c>
      <c r="E349" t="str" xml:space="preserve">
        <v> </v>
      </c>
      <c r="F349" t="str" xml:space="preserve">
        <v> </v>
      </c>
      <c r="G349" t="str">
        <v>JW20231106-1873</v>
      </c>
      <c r="H349">
        <v>20240513</v>
      </c>
      <c r="I349" t="str">
        <v>华东</v>
      </c>
      <c r="J349" t="str">
        <v>上海</v>
      </c>
      <c r="K349" s="124">
        <v>745000</v>
      </c>
      <c r="L349" t="str">
        <v>CNY</v>
      </c>
      <c r="N349" t="str">
        <v>待确认</v>
      </c>
      <c r="P349">
        <f>G349</f>
      </c>
      <c r="Q349" s="125"/>
      <c r="T349">
        <f>B349</f>
      </c>
      <c r="Y349" s="123"/>
      <c r="Z349" s="123"/>
      <c r="AA349" s="123"/>
      <c r="AB349" s="123"/>
      <c r="AC349" s="125"/>
      <c r="AO349">
        <f>K349</f>
      </c>
      <c r="AQ349" s="123">
        <f>AO349/(1+AP349)</f>
      </c>
      <c r="AR349">
        <f>L349</f>
      </c>
    </row>
    <row r="350">
      <c r="A350" t="str">
        <v>国内</v>
      </c>
      <c r="B350" t="str">
        <v>VL</v>
      </c>
      <c r="C350" t="str">
        <v>文创</v>
      </c>
      <c r="D350" t="str" xml:space="preserve">
        <v> </v>
      </c>
      <c r="E350" t="str" xml:space="preserve">
        <v> </v>
      </c>
      <c r="F350" t="str" xml:space="preserve">
        <v> </v>
      </c>
      <c r="G350" t="str">
        <v>JW20240411-1921</v>
      </c>
      <c r="H350">
        <v>20240429</v>
      </c>
      <c r="I350" t="str">
        <v>华中</v>
      </c>
      <c r="J350" t="str">
        <v>山东</v>
      </c>
      <c r="K350" s="124">
        <v>15780</v>
      </c>
      <c r="L350" t="str">
        <v>CNY</v>
      </c>
      <c r="N350" t="str">
        <v>待确认</v>
      </c>
      <c r="P350">
        <f>G350</f>
      </c>
      <c r="Q350" s="125"/>
      <c r="T350">
        <f>B350</f>
      </c>
      <c r="Y350" s="123"/>
      <c r="Z350" s="123"/>
      <c r="AA350" s="123"/>
      <c r="AB350" s="123"/>
      <c r="AC350" s="125"/>
      <c r="AO350">
        <f>K350</f>
      </c>
      <c r="AQ350" s="123">
        <f>AO350/(1+AP350)</f>
      </c>
      <c r="AR350">
        <f>L350</f>
      </c>
    </row>
    <row r="351">
      <c r="A351" t="str">
        <v>国内</v>
      </c>
      <c r="B351" t="str">
        <v>VL</v>
      </c>
      <c r="C351" t="str">
        <v>文创</v>
      </c>
      <c r="D351" t="str" xml:space="preserve">
        <v> </v>
      </c>
      <c r="E351" t="str" xml:space="preserve">
        <v> </v>
      </c>
      <c r="F351" t="str" xml:space="preserve">
        <v> </v>
      </c>
      <c r="G351" t="str">
        <v>JW20240411-1921</v>
      </c>
      <c r="H351">
        <v>20240429</v>
      </c>
      <c r="I351" t="str">
        <v>华中</v>
      </c>
      <c r="J351" t="str">
        <v>山东</v>
      </c>
      <c r="K351" s="124">
        <v>15780</v>
      </c>
      <c r="L351" t="str">
        <v>CNY</v>
      </c>
      <c r="N351" t="str">
        <v>待确认</v>
      </c>
      <c r="P351">
        <f>G351</f>
      </c>
      <c r="Q351" s="125"/>
      <c r="T351">
        <f>B351</f>
      </c>
      <c r="Y351" s="123"/>
      <c r="Z351" s="123"/>
      <c r="AA351" s="123"/>
      <c r="AB351" s="123"/>
      <c r="AC351" s="125"/>
      <c r="AO351">
        <f>K351</f>
      </c>
      <c r="AQ351" s="123">
        <f>AO351/(1+AP351)</f>
      </c>
      <c r="AR351">
        <f>L351</f>
      </c>
    </row>
    <row r="352">
      <c r="A352" t="str">
        <v>国内</v>
      </c>
      <c r="B352" t="str">
        <v>VL</v>
      </c>
      <c r="C352" t="str">
        <v>文创</v>
      </c>
      <c r="D352" t="str" xml:space="preserve">
        <v> </v>
      </c>
      <c r="E352" t="str" xml:space="preserve">
        <v> </v>
      </c>
      <c r="F352" t="str" xml:space="preserve">
        <v> </v>
      </c>
      <c r="G352" t="str">
        <v>OP2024030346</v>
      </c>
      <c r="H352">
        <v>20240424</v>
      </c>
      <c r="I352" t="str">
        <v>华东</v>
      </c>
      <c r="J352" t="str">
        <v>浙江</v>
      </c>
      <c r="K352" s="124">
        <v>240000</v>
      </c>
      <c r="L352" t="str">
        <v>CNY</v>
      </c>
      <c r="N352" t="str">
        <v>待确认</v>
      </c>
      <c r="P352">
        <f>G352</f>
      </c>
      <c r="Q352" s="125"/>
      <c r="T352">
        <f>B352</f>
      </c>
      <c r="Y352" s="123"/>
      <c r="Z352" s="123"/>
      <c r="AA352" s="123"/>
      <c r="AB352" s="123"/>
      <c r="AC352" s="125"/>
      <c r="AO352">
        <f>K352</f>
      </c>
      <c r="AQ352" s="123">
        <f>AO352/(1+AP352)</f>
      </c>
      <c r="AR352">
        <f>L352</f>
      </c>
    </row>
    <row r="353">
      <c r="A353" t="str">
        <v>国内</v>
      </c>
      <c r="B353" t="str">
        <v>VL</v>
      </c>
      <c r="C353" t="str">
        <v>文创</v>
      </c>
      <c r="D353" t="str" xml:space="preserve">
        <v> </v>
      </c>
      <c r="E353" t="str" xml:space="preserve">
        <v> </v>
      </c>
      <c r="F353" t="str" xml:space="preserve">
        <v> </v>
      </c>
      <c r="G353" t="str">
        <v>JW20240412-1923-1</v>
      </c>
      <c r="H353">
        <v>20240424</v>
      </c>
      <c r="I353" t="str">
        <v>华东</v>
      </c>
      <c r="J353" t="str">
        <v>浙江</v>
      </c>
      <c r="K353" s="124">
        <v>669000</v>
      </c>
      <c r="L353" t="str">
        <v>CNY</v>
      </c>
      <c r="N353" t="str">
        <v>待确认</v>
      </c>
      <c r="P353">
        <f>G353</f>
      </c>
      <c r="Q353" s="125"/>
      <c r="T353">
        <f>B353</f>
      </c>
      <c r="Y353" s="123"/>
      <c r="Z353" s="123"/>
      <c r="AA353" s="123"/>
      <c r="AB353" s="123"/>
      <c r="AC353" s="125"/>
      <c r="AO353">
        <f>K353</f>
      </c>
      <c r="AQ353" s="123">
        <f>AO353/(1+AP353)</f>
      </c>
      <c r="AR353">
        <f>L353</f>
      </c>
    </row>
    <row r="354">
      <c r="A354" t="str">
        <v>国内</v>
      </c>
      <c r="B354" t="str">
        <v>VL</v>
      </c>
      <c r="C354" t="str">
        <v>文创</v>
      </c>
      <c r="D354" t="str" xml:space="preserve">
        <v> </v>
      </c>
      <c r="E354" t="str" xml:space="preserve">
        <v> </v>
      </c>
      <c r="F354" t="str" xml:space="preserve">
        <v> </v>
      </c>
      <c r="G354" t="str">
        <v>JW20240412-1923-1</v>
      </c>
      <c r="H354">
        <v>20240424</v>
      </c>
      <c r="I354" t="str">
        <v>华北</v>
      </c>
      <c r="J354" t="str">
        <v>北京</v>
      </c>
      <c r="K354" s="124">
        <v>1561000</v>
      </c>
      <c r="L354" t="str">
        <v>CNY</v>
      </c>
      <c r="N354" t="str">
        <v>待确认</v>
      </c>
      <c r="P354">
        <f>G354</f>
      </c>
      <c r="Q354" s="125"/>
      <c r="T354">
        <f>B354</f>
      </c>
      <c r="Y354" s="123"/>
      <c r="Z354" s="123"/>
      <c r="AA354" s="123"/>
      <c r="AB354" s="123"/>
      <c r="AC354" s="125"/>
      <c r="AO354">
        <f>K354</f>
      </c>
      <c r="AQ354" s="123">
        <f>AO354/(1+AP354)</f>
      </c>
      <c r="AR354">
        <f>L354</f>
      </c>
    </row>
    <row r="355">
      <c r="A355" t="str">
        <v>国内</v>
      </c>
      <c r="B355" t="str">
        <v>VL</v>
      </c>
      <c r="C355" t="str">
        <v>文创</v>
      </c>
      <c r="D355" t="str" xml:space="preserve">
        <v> </v>
      </c>
      <c r="E355" t="str" xml:space="preserve">
        <v> </v>
      </c>
      <c r="F355" t="str" xml:space="preserve">
        <v> </v>
      </c>
      <c r="G355" t="str">
        <v>OP2024030346</v>
      </c>
      <c r="H355">
        <v>20240424</v>
      </c>
      <c r="I355" t="str">
        <v>华东</v>
      </c>
      <c r="J355" t="str">
        <v>浙江</v>
      </c>
      <c r="K355" s="124">
        <v>240000</v>
      </c>
      <c r="L355" t="str">
        <v>CNY</v>
      </c>
      <c r="N355" t="str">
        <v>待确认</v>
      </c>
      <c r="P355">
        <f>G355</f>
      </c>
      <c r="Q355" s="125"/>
      <c r="T355">
        <f>B355</f>
      </c>
      <c r="Y355" s="123"/>
      <c r="Z355" s="123"/>
      <c r="AA355" s="123"/>
      <c r="AB355" s="123"/>
      <c r="AC355" s="125"/>
      <c r="AO355">
        <f>K355</f>
      </c>
      <c r="AQ355" s="123">
        <f>AO355/(1+AP355)</f>
      </c>
      <c r="AR355">
        <f>L355</f>
      </c>
    </row>
    <row r="356">
      <c r="A356" t="str">
        <v>国内</v>
      </c>
      <c r="B356" t="str">
        <v>VL</v>
      </c>
      <c r="C356" t="str">
        <v>文创</v>
      </c>
      <c r="D356" t="str" xml:space="preserve">
        <v> </v>
      </c>
      <c r="E356" t="str" xml:space="preserve">
        <v> </v>
      </c>
      <c r="F356" t="str" xml:space="preserve">
        <v> </v>
      </c>
      <c r="G356" t="str">
        <v>JW20240412-1923-1</v>
      </c>
      <c r="H356">
        <v>20240424</v>
      </c>
      <c r="I356" t="str">
        <v>华北</v>
      </c>
      <c r="J356" t="str">
        <v>北京</v>
      </c>
      <c r="K356" s="124">
        <v>1561000</v>
      </c>
      <c r="L356" t="str">
        <v>CNY</v>
      </c>
      <c r="N356" t="str">
        <v>待确认</v>
      </c>
      <c r="P356">
        <f>G356</f>
      </c>
      <c r="Q356" s="125"/>
      <c r="T356">
        <f>B356</f>
      </c>
      <c r="Y356" s="123"/>
      <c r="Z356" s="123"/>
      <c r="AA356" s="123"/>
      <c r="AB356" s="123"/>
      <c r="AC356" s="125"/>
      <c r="AO356">
        <f>K356</f>
      </c>
      <c r="AQ356" s="123">
        <f>AO356/(1+AP356)</f>
      </c>
      <c r="AR356">
        <f>L356</f>
      </c>
    </row>
    <row r="357">
      <c r="A357" t="str">
        <v>国内</v>
      </c>
      <c r="B357" t="str">
        <v>VL</v>
      </c>
      <c r="C357" t="str">
        <v>文创</v>
      </c>
      <c r="D357" t="str" xml:space="preserve">
        <v> </v>
      </c>
      <c r="E357" t="str" xml:space="preserve">
        <v> </v>
      </c>
      <c r="F357" t="str" xml:space="preserve">
        <v> </v>
      </c>
      <c r="G357" t="str">
        <v>JW20240412-1923-1</v>
      </c>
      <c r="H357">
        <v>20240424</v>
      </c>
      <c r="I357" t="str">
        <v>华东</v>
      </c>
      <c r="J357" t="str">
        <v>浙江</v>
      </c>
      <c r="K357" s="124">
        <v>669000</v>
      </c>
      <c r="L357" t="str">
        <v>CNY</v>
      </c>
      <c r="N357" t="str">
        <v>待确认</v>
      </c>
      <c r="P357">
        <f>G357</f>
      </c>
      <c r="Q357" s="125"/>
      <c r="T357">
        <f>B357</f>
      </c>
      <c r="Y357" s="123"/>
      <c r="Z357" s="123"/>
      <c r="AA357" s="123"/>
      <c r="AB357" s="123"/>
      <c r="AC357" s="125"/>
      <c r="AO357">
        <f>K357</f>
      </c>
      <c r="AQ357" s="123">
        <f>AO357/(1+AP357)</f>
      </c>
      <c r="AR357">
        <f>L357</f>
      </c>
    </row>
    <row r="358">
      <c r="A358" t="str">
        <v>国内</v>
      </c>
      <c r="B358" t="str">
        <v>VL</v>
      </c>
      <c r="C358" t="str">
        <v>文创</v>
      </c>
      <c r="D358" t="str" xml:space="preserve">
        <v> </v>
      </c>
      <c r="E358" t="str" xml:space="preserve">
        <v> </v>
      </c>
      <c r="F358" t="str" xml:space="preserve">
        <v> </v>
      </c>
      <c r="G358" t="str">
        <v>JW20240411-1922</v>
      </c>
      <c r="H358">
        <v>20240422</v>
      </c>
      <c r="I358" t="str">
        <v>华北</v>
      </c>
      <c r="J358" t="str">
        <v>北京</v>
      </c>
      <c r="K358" s="124">
        <v>69377</v>
      </c>
      <c r="L358" t="str">
        <v>CNY</v>
      </c>
      <c r="N358" t="str">
        <v>待确认</v>
      </c>
      <c r="P358">
        <f>G358</f>
      </c>
      <c r="Q358" s="125"/>
      <c r="T358">
        <f>B358</f>
      </c>
      <c r="Y358" s="123"/>
      <c r="Z358" s="123"/>
      <c r="AA358" s="123"/>
      <c r="AB358" s="123"/>
      <c r="AC358" s="125"/>
      <c r="AO358">
        <f>K358</f>
      </c>
      <c r="AQ358" s="123">
        <f>AO358/(1+AP358)</f>
      </c>
      <c r="AR358">
        <f>L358</f>
      </c>
    </row>
    <row r="359">
      <c r="A359" t="str">
        <v>国内</v>
      </c>
      <c r="B359" t="str">
        <v>VL</v>
      </c>
      <c r="C359" t="str">
        <v>文创</v>
      </c>
      <c r="D359" t="str" xml:space="preserve">
        <v> </v>
      </c>
      <c r="E359" t="str" xml:space="preserve">
        <v> </v>
      </c>
      <c r="F359" t="str" xml:space="preserve">
        <v> </v>
      </c>
      <c r="G359" t="str">
        <v>JW20240411-1922</v>
      </c>
      <c r="H359">
        <v>20240422</v>
      </c>
      <c r="I359" t="str">
        <v>华北</v>
      </c>
      <c r="J359" t="str">
        <v>北京</v>
      </c>
      <c r="K359" s="124">
        <v>69377</v>
      </c>
      <c r="L359" t="str">
        <v>CNY</v>
      </c>
      <c r="N359" t="str">
        <v>待确认</v>
      </c>
      <c r="P359">
        <f>G359</f>
      </c>
      <c r="Q359" s="125"/>
      <c r="T359">
        <f>B359</f>
      </c>
      <c r="Y359" s="123"/>
      <c r="Z359" s="123"/>
      <c r="AA359" s="123"/>
      <c r="AB359" s="123"/>
      <c r="AC359" s="125"/>
      <c r="AO359">
        <f>K359</f>
      </c>
      <c r="AQ359" s="123">
        <f>AO359/(1+AP359)</f>
      </c>
      <c r="AR359">
        <f>L359</f>
      </c>
    </row>
    <row r="360">
      <c r="A360" t="str">
        <v>国内</v>
      </c>
      <c r="B360" t="str">
        <v>VL</v>
      </c>
      <c r="C360" t="str">
        <v>文创</v>
      </c>
      <c r="D360" t="str" xml:space="preserve">
        <v> </v>
      </c>
      <c r="E360" t="str" xml:space="preserve">
        <v> </v>
      </c>
      <c r="F360" t="str" xml:space="preserve">
        <v> </v>
      </c>
      <c r="G360" t="str">
        <v>JW20240312-C016</v>
      </c>
      <c r="H360">
        <v>20240408</v>
      </c>
      <c r="I360" t="str">
        <v>华南</v>
      </c>
      <c r="J360" t="str">
        <v>深圳</v>
      </c>
      <c r="K360" s="124">
        <v>41400</v>
      </c>
      <c r="L360" t="str">
        <v>CNY</v>
      </c>
      <c r="N360" t="str">
        <v>待确认</v>
      </c>
      <c r="P360">
        <f>G360</f>
      </c>
      <c r="Q360" s="125"/>
      <c r="T360">
        <f>B360</f>
      </c>
      <c r="Y360" s="123"/>
      <c r="Z360" s="123"/>
      <c r="AA360" s="123"/>
      <c r="AB360" s="123"/>
      <c r="AC360" s="125"/>
      <c r="AO360">
        <f>K360</f>
      </c>
      <c r="AQ360" s="123">
        <f>AO360/(1+AP360)</f>
      </c>
      <c r="AR360">
        <f>L360</f>
      </c>
    </row>
    <row r="361">
      <c r="A361" t="str">
        <v>国内</v>
      </c>
      <c r="B361" t="str">
        <v>VL</v>
      </c>
      <c r="C361" t="str">
        <v>文创</v>
      </c>
      <c r="D361" t="str" xml:space="preserve">
        <v> </v>
      </c>
      <c r="E361" t="str" xml:space="preserve">
        <v> </v>
      </c>
      <c r="F361" t="str" xml:space="preserve">
        <v> </v>
      </c>
      <c r="G361" t="str">
        <v>JW20240222-C015</v>
      </c>
      <c r="H361">
        <v>20240408</v>
      </c>
      <c r="I361" t="str">
        <v>华南</v>
      </c>
      <c r="J361" t="str">
        <v>深圳</v>
      </c>
      <c r="K361" s="126">
        <v>833.25</v>
      </c>
      <c r="L361" t="str">
        <v>CNY</v>
      </c>
      <c r="N361" t="str">
        <v>待确认</v>
      </c>
      <c r="P361">
        <f>G361</f>
      </c>
      <c r="Q361" s="125"/>
      <c r="T361">
        <f>B361</f>
      </c>
      <c r="Y361" s="123"/>
      <c r="Z361" s="123"/>
      <c r="AA361" s="123"/>
      <c r="AB361" s="123"/>
      <c r="AC361" s="125"/>
      <c r="AO361">
        <f>K361</f>
      </c>
      <c r="AQ361" s="123">
        <f>AO361/(1+AP361)</f>
      </c>
      <c r="AR361">
        <f>L361</f>
      </c>
    </row>
    <row r="362">
      <c r="A362" t="str">
        <v>国内</v>
      </c>
      <c r="B362" t="str">
        <v>VL</v>
      </c>
      <c r="C362" t="str">
        <v>文创</v>
      </c>
      <c r="D362" t="str" xml:space="preserve">
        <v> </v>
      </c>
      <c r="E362" t="str" xml:space="preserve">
        <v> </v>
      </c>
      <c r="F362" t="str" xml:space="preserve">
        <v> </v>
      </c>
      <c r="G362" t="str">
        <v>JW20240322-C017</v>
      </c>
      <c r="H362">
        <v>20240408</v>
      </c>
      <c r="I362" t="str">
        <v>华南</v>
      </c>
      <c r="J362" t="str">
        <v>深圳</v>
      </c>
      <c r="K362" s="126">
        <v>3110.8</v>
      </c>
      <c r="L362" t="str">
        <v>CNY</v>
      </c>
      <c r="N362" t="str">
        <v>待确认</v>
      </c>
      <c r="P362">
        <f>G362</f>
      </c>
      <c r="Q362" s="125"/>
      <c r="T362">
        <f>B362</f>
      </c>
      <c r="Y362" s="123"/>
      <c r="Z362" s="123"/>
      <c r="AA362" s="123"/>
      <c r="AB362" s="123"/>
      <c r="AC362" s="125"/>
      <c r="AO362">
        <f>K362</f>
      </c>
      <c r="AQ362" s="123">
        <f>AO362/(1+AP362)</f>
      </c>
      <c r="AR362">
        <f>L362</f>
      </c>
    </row>
    <row r="363">
      <c r="A363" t="str">
        <v>国内</v>
      </c>
      <c r="B363" t="str">
        <v>VL</v>
      </c>
      <c r="C363" t="str">
        <v>文创</v>
      </c>
      <c r="D363" t="str" xml:space="preserve">
        <v> </v>
      </c>
      <c r="E363" t="str" xml:space="preserve">
        <v> </v>
      </c>
      <c r="F363" t="str" xml:space="preserve">
        <v> </v>
      </c>
      <c r="G363" t="str">
        <v>JW20240222-C015</v>
      </c>
      <c r="H363">
        <v>20240408</v>
      </c>
      <c r="I363" t="str">
        <v>华南</v>
      </c>
      <c r="J363" t="str">
        <v>深圳</v>
      </c>
      <c r="K363">
        <v>833.25</v>
      </c>
      <c r="L363" t="str">
        <v>CNY</v>
      </c>
      <c r="N363" t="str">
        <v>待确认</v>
      </c>
      <c r="P363">
        <f>G363</f>
      </c>
      <c r="Q363" s="125"/>
      <c r="T363">
        <f>B363</f>
      </c>
      <c r="Y363" s="123"/>
      <c r="Z363" s="123"/>
      <c r="AA363" s="123"/>
      <c r="AB363" s="123"/>
      <c r="AC363" s="125"/>
      <c r="AO363">
        <f>K363</f>
      </c>
      <c r="AQ363" s="123">
        <f>AO363/(1+AP363)</f>
      </c>
      <c r="AR363">
        <f>L363</f>
      </c>
    </row>
    <row r="364">
      <c r="A364" t="str">
        <v>国内</v>
      </c>
      <c r="B364" t="str">
        <v>VL</v>
      </c>
      <c r="C364" t="str">
        <v>文创</v>
      </c>
      <c r="D364" t="str" xml:space="preserve">
        <v> </v>
      </c>
      <c r="E364" t="str" xml:space="preserve">
        <v> </v>
      </c>
      <c r="F364" t="str" xml:space="preserve">
        <v> </v>
      </c>
      <c r="G364" t="str">
        <v>JW20240322-C017</v>
      </c>
      <c r="H364">
        <v>20240408</v>
      </c>
      <c r="I364" t="str">
        <v>华南</v>
      </c>
      <c r="J364" t="str">
        <v>深圳</v>
      </c>
      <c r="K364" s="126">
        <v>3110.8</v>
      </c>
      <c r="L364" t="str">
        <v>CNY</v>
      </c>
      <c r="N364" t="str">
        <v>待确认</v>
      </c>
      <c r="P364">
        <f>G364</f>
      </c>
      <c r="Q364" s="125"/>
      <c r="T364">
        <f>B364</f>
      </c>
      <c r="Y364" s="123"/>
      <c r="Z364" s="123"/>
      <c r="AA364" s="123"/>
      <c r="AB364" s="123"/>
      <c r="AC364" s="125"/>
      <c r="AO364">
        <f>K364</f>
      </c>
      <c r="AQ364" s="123">
        <f>AO364/(1+AP364)</f>
      </c>
      <c r="AR364">
        <f>L364</f>
      </c>
    </row>
    <row r="365">
      <c r="A365" t="str">
        <v>国内</v>
      </c>
      <c r="B365" t="str">
        <v>VL</v>
      </c>
      <c r="C365" t="str">
        <v>文创</v>
      </c>
      <c r="D365" t="str" xml:space="preserve">
        <v> </v>
      </c>
      <c r="E365" t="str" xml:space="preserve">
        <v> </v>
      </c>
      <c r="F365" t="str" xml:space="preserve">
        <v> </v>
      </c>
      <c r="G365" t="str">
        <v>JW20240312-C016</v>
      </c>
      <c r="H365">
        <v>20240408</v>
      </c>
      <c r="I365" t="str">
        <v>华南</v>
      </c>
      <c r="J365" t="str">
        <v>深圳</v>
      </c>
      <c r="K365" s="124">
        <v>41400</v>
      </c>
      <c r="L365" t="str">
        <v>CNY</v>
      </c>
      <c r="N365" t="str">
        <v>待确认</v>
      </c>
      <c r="P365">
        <f>G365</f>
      </c>
      <c r="Q365" s="125"/>
      <c r="T365">
        <f>B365</f>
      </c>
      <c r="Y365" s="123"/>
      <c r="Z365" s="123"/>
      <c r="AA365" s="123"/>
      <c r="AB365" s="123"/>
      <c r="AC365" s="125"/>
      <c r="AO365">
        <f>K365</f>
      </c>
      <c r="AQ365" s="123">
        <f>AO365/(1+AP365)</f>
      </c>
      <c r="AR365">
        <f>L365</f>
      </c>
    </row>
    <row r="366">
      <c r="A366" t="str">
        <v>国内</v>
      </c>
      <c r="B366" t="str">
        <v>VL</v>
      </c>
      <c r="C366" t="str">
        <v>文创</v>
      </c>
      <c r="D366" t="str" xml:space="preserve">
        <v> </v>
      </c>
      <c r="E366" t="str" xml:space="preserve">
        <v> </v>
      </c>
      <c r="F366" t="str" xml:space="preserve">
        <v> </v>
      </c>
      <c r="G366" t="str">
        <v>JW20240129-1904</v>
      </c>
      <c r="H366">
        <v>20240320</v>
      </c>
      <c r="I366" t="str">
        <v>华北</v>
      </c>
      <c r="J366" t="str">
        <v>内蒙</v>
      </c>
      <c r="K366" s="126">
        <v>69618.6</v>
      </c>
      <c r="L366" t="str">
        <v>CNY</v>
      </c>
      <c r="N366" t="str">
        <v>待确认</v>
      </c>
      <c r="P366">
        <f>G366</f>
      </c>
      <c r="Q366" s="125"/>
      <c r="T366">
        <f>B366</f>
      </c>
      <c r="Y366" s="123"/>
      <c r="Z366" s="123"/>
      <c r="AA366" s="123"/>
      <c r="AB366" s="123"/>
      <c r="AC366" s="125"/>
      <c r="AO366">
        <f>K366</f>
      </c>
      <c r="AQ366" s="123">
        <f>AO366/(1+AP366)</f>
      </c>
      <c r="AR366">
        <f>L366</f>
      </c>
    </row>
    <row r="367">
      <c r="A367" t="str">
        <v>国内</v>
      </c>
      <c r="B367" t="str">
        <v>VL</v>
      </c>
      <c r="C367" t="str">
        <v>文创</v>
      </c>
      <c r="D367" t="str" xml:space="preserve">
        <v> </v>
      </c>
      <c r="E367" t="str" xml:space="preserve">
        <v> </v>
      </c>
      <c r="F367" t="str" xml:space="preserve">
        <v> </v>
      </c>
      <c r="G367" t="str">
        <v>JW20240129-1904</v>
      </c>
      <c r="H367">
        <v>20240320</v>
      </c>
      <c r="I367" t="str">
        <v>华北</v>
      </c>
      <c r="J367" t="str">
        <v>北京</v>
      </c>
      <c r="K367" s="126">
        <v>162443.4</v>
      </c>
      <c r="L367" t="str">
        <v>CNY</v>
      </c>
      <c r="N367" t="str">
        <v>待确认</v>
      </c>
      <c r="P367">
        <f>G367</f>
      </c>
      <c r="Q367" s="125"/>
      <c r="T367">
        <f>B367</f>
      </c>
      <c r="Y367" s="123"/>
      <c r="Z367" s="123"/>
      <c r="AA367" s="123"/>
      <c r="AB367" s="123"/>
      <c r="AC367" s="125"/>
      <c r="AO367">
        <f>K367</f>
      </c>
      <c r="AQ367" s="123">
        <f>AO367/(1+AP367)</f>
      </c>
      <c r="AR367">
        <f>L367</f>
      </c>
    </row>
    <row r="368">
      <c r="A368" t="str">
        <v>国内</v>
      </c>
      <c r="B368" t="str">
        <v>VL</v>
      </c>
      <c r="C368" t="str">
        <v>文创</v>
      </c>
      <c r="D368" t="str" xml:space="preserve">
        <v> </v>
      </c>
      <c r="E368" t="str" xml:space="preserve">
        <v> </v>
      </c>
      <c r="F368" t="str" xml:space="preserve">
        <v> </v>
      </c>
      <c r="G368" t="str">
        <v>JW20240129-1904</v>
      </c>
      <c r="H368">
        <v>20240320</v>
      </c>
      <c r="I368" t="str">
        <v>华北</v>
      </c>
      <c r="J368" t="str">
        <v>北京</v>
      </c>
      <c r="K368" s="126">
        <v>162443.4</v>
      </c>
      <c r="L368" t="str">
        <v>CNY</v>
      </c>
      <c r="N368" t="str">
        <v>待确认</v>
      </c>
      <c r="P368">
        <f>G368</f>
      </c>
      <c r="Q368" s="125"/>
      <c r="T368">
        <f>B368</f>
      </c>
      <c r="Y368" s="123"/>
      <c r="Z368" s="123"/>
      <c r="AA368" s="123"/>
      <c r="AB368" s="123"/>
      <c r="AC368" s="125"/>
      <c r="AO368">
        <f>K368</f>
      </c>
      <c r="AQ368" s="123">
        <f>AO368/(1+AP368)</f>
      </c>
      <c r="AR368">
        <f>L368</f>
      </c>
    </row>
    <row r="369">
      <c r="A369" t="str">
        <v>国内</v>
      </c>
      <c r="B369" t="str">
        <v>VL</v>
      </c>
      <c r="C369" t="str">
        <v>文创</v>
      </c>
      <c r="D369" t="str" xml:space="preserve">
        <v> </v>
      </c>
      <c r="E369" t="str" xml:space="preserve">
        <v> </v>
      </c>
      <c r="F369" t="str" xml:space="preserve">
        <v> </v>
      </c>
      <c r="G369" t="str">
        <v>JW20240129-1904</v>
      </c>
      <c r="H369">
        <v>20240320</v>
      </c>
      <c r="I369" t="str">
        <v>华北</v>
      </c>
      <c r="J369" t="str">
        <v>内蒙</v>
      </c>
      <c r="K369" s="126">
        <v>69618.6</v>
      </c>
      <c r="L369" t="str">
        <v>CNY</v>
      </c>
      <c r="N369" t="str">
        <v>待确认</v>
      </c>
      <c r="P369">
        <f>G369</f>
      </c>
      <c r="Q369" s="125"/>
      <c r="T369">
        <f>B369</f>
      </c>
      <c r="Y369" s="123"/>
      <c r="Z369" s="123"/>
      <c r="AA369" s="123"/>
      <c r="AB369" s="123"/>
      <c r="AC369" s="125"/>
      <c r="AO369">
        <f>K369</f>
      </c>
      <c r="AQ369" s="123">
        <f>AO369/(1+AP369)</f>
      </c>
      <c r="AR369">
        <f>L369</f>
      </c>
    </row>
    <row r="370">
      <c r="A370" t="str">
        <v>国内</v>
      </c>
      <c r="B370" t="str">
        <v>VL</v>
      </c>
      <c r="C370" t="str">
        <v>文创</v>
      </c>
      <c r="D370" t="str" xml:space="preserve">
        <v> </v>
      </c>
      <c r="E370" t="str" xml:space="preserve">
        <v> </v>
      </c>
      <c r="F370" t="str" xml:space="preserve">
        <v> </v>
      </c>
      <c r="G370" t="str">
        <v>JW20231225-1894</v>
      </c>
      <c r="H370">
        <v>20240312</v>
      </c>
      <c r="I370" t="str">
        <v>华东</v>
      </c>
      <c r="J370" t="str">
        <v>江苏</v>
      </c>
      <c r="K370" s="124">
        <v>624000</v>
      </c>
      <c r="L370" t="str">
        <v>CNY</v>
      </c>
      <c r="N370" t="str">
        <v>待确认</v>
      </c>
      <c r="P370">
        <f>G370</f>
      </c>
      <c r="Q370" s="125"/>
      <c r="T370">
        <f>B370</f>
      </c>
      <c r="Y370" s="123"/>
      <c r="Z370" s="123"/>
      <c r="AA370" s="123"/>
      <c r="AB370" s="123"/>
      <c r="AC370" s="125"/>
      <c r="AO370">
        <f>K370</f>
      </c>
      <c r="AQ370" s="123">
        <f>AO370/(1+AP370)</f>
      </c>
      <c r="AR370">
        <f>L370</f>
      </c>
    </row>
    <row r="371">
      <c r="A371" t="str">
        <v>国内</v>
      </c>
      <c r="B371" t="str">
        <v>VL</v>
      </c>
      <c r="C371" t="str">
        <v>文创</v>
      </c>
      <c r="D371" t="str" xml:space="preserve">
        <v> </v>
      </c>
      <c r="E371" t="str" xml:space="preserve">
        <v> </v>
      </c>
      <c r="F371" t="str" xml:space="preserve">
        <v> </v>
      </c>
      <c r="G371" t="str">
        <v>JW20231221-1892</v>
      </c>
      <c r="H371">
        <v>20240312</v>
      </c>
      <c r="I371" t="str">
        <v>华东</v>
      </c>
      <c r="J371" t="str">
        <v>上海</v>
      </c>
      <c r="K371" s="124">
        <v>330000</v>
      </c>
      <c r="L371" t="str">
        <v>CNY</v>
      </c>
      <c r="N371" t="str">
        <v>待确认</v>
      </c>
      <c r="P371">
        <f>G371</f>
      </c>
      <c r="Q371" s="125"/>
      <c r="T371">
        <f>B371</f>
      </c>
      <c r="Y371" s="123"/>
      <c r="Z371" s="123"/>
      <c r="AA371" s="123"/>
      <c r="AB371" s="123"/>
      <c r="AC371" s="125"/>
      <c r="AO371">
        <f>K371</f>
      </c>
      <c r="AQ371" s="123">
        <f>AO371/(1+AP371)</f>
      </c>
      <c r="AR371">
        <f>L371</f>
      </c>
    </row>
    <row r="372">
      <c r="A372" t="str">
        <v>国内</v>
      </c>
      <c r="B372" t="str">
        <v>VL</v>
      </c>
      <c r="C372" t="str">
        <v>文创</v>
      </c>
      <c r="D372" t="str" xml:space="preserve">
        <v> </v>
      </c>
      <c r="E372" t="str" xml:space="preserve">
        <v> </v>
      </c>
      <c r="F372" t="str" xml:space="preserve">
        <v> </v>
      </c>
      <c r="G372" t="str">
        <v>JW20231221-1892</v>
      </c>
      <c r="H372">
        <v>20240312</v>
      </c>
      <c r="I372" t="str">
        <v>华东</v>
      </c>
      <c r="J372" t="str">
        <v>上海</v>
      </c>
      <c r="K372" s="124">
        <v>330000</v>
      </c>
      <c r="L372" t="str">
        <v>CNY</v>
      </c>
      <c r="N372" t="str">
        <v>待确认</v>
      </c>
      <c r="P372">
        <f>G372</f>
      </c>
      <c r="Q372" s="125"/>
      <c r="T372">
        <f>B372</f>
      </c>
      <c r="Y372" s="123"/>
      <c r="Z372" s="123"/>
      <c r="AA372" s="123"/>
      <c r="AB372" s="123"/>
      <c r="AC372" s="125"/>
      <c r="AO372">
        <f>K372</f>
      </c>
      <c r="AQ372" s="123">
        <f>AO372/(1+AP372)</f>
      </c>
      <c r="AR372">
        <f>L372</f>
      </c>
    </row>
    <row r="373">
      <c r="A373" t="str">
        <v>国内</v>
      </c>
      <c r="B373" t="str">
        <v>VL</v>
      </c>
      <c r="C373" t="str">
        <v>文创</v>
      </c>
      <c r="D373" t="str" xml:space="preserve">
        <v> </v>
      </c>
      <c r="E373" t="str" xml:space="preserve">
        <v> </v>
      </c>
      <c r="F373" t="str" xml:space="preserve">
        <v> </v>
      </c>
      <c r="G373" t="str">
        <v>JW20231225-1894</v>
      </c>
      <c r="H373">
        <v>20240312</v>
      </c>
      <c r="I373" t="str">
        <v>华东</v>
      </c>
      <c r="J373" t="str">
        <v>江苏</v>
      </c>
      <c r="K373" s="124">
        <v>624000</v>
      </c>
      <c r="L373" t="str">
        <v>CNY</v>
      </c>
      <c r="N373" t="str">
        <v>待确认</v>
      </c>
      <c r="P373">
        <f>G373</f>
      </c>
      <c r="Q373" s="125"/>
      <c r="T373">
        <f>B373</f>
      </c>
      <c r="Y373" s="123"/>
      <c r="Z373" s="123"/>
      <c r="AA373" s="123"/>
      <c r="AB373" s="123"/>
      <c r="AC373" s="125"/>
      <c r="AO373">
        <f>K373</f>
      </c>
      <c r="AQ373" s="123">
        <f>AO373/(1+AP373)</f>
      </c>
      <c r="AR373">
        <f>L373</f>
      </c>
    </row>
    <row r="374">
      <c r="A374" t="str">
        <v>国内</v>
      </c>
      <c r="B374" t="str">
        <v>VL</v>
      </c>
      <c r="C374" t="str">
        <v>文创</v>
      </c>
      <c r="D374" t="str" xml:space="preserve">
        <v> </v>
      </c>
      <c r="E374" t="str" xml:space="preserve">
        <v> </v>
      </c>
      <c r="F374" t="str" xml:space="preserve">
        <v> </v>
      </c>
      <c r="G374" t="str">
        <v>JW20240116-1903-增补</v>
      </c>
      <c r="H374">
        <v>20240311</v>
      </c>
      <c r="I374" t="str">
        <v>华南</v>
      </c>
      <c r="J374" t="str">
        <v>广州</v>
      </c>
      <c r="K374" s="124">
        <v>8100</v>
      </c>
      <c r="L374" t="str">
        <v>CNY</v>
      </c>
      <c r="N374" t="str">
        <v>待确认</v>
      </c>
      <c r="P374">
        <f>G374</f>
      </c>
      <c r="Q374" s="125"/>
      <c r="T374">
        <f>B374</f>
      </c>
      <c r="Y374" s="123"/>
      <c r="Z374" s="123"/>
      <c r="AA374" s="123"/>
      <c r="AB374" s="123"/>
      <c r="AC374" s="125"/>
      <c r="AO374">
        <f>K374</f>
      </c>
      <c r="AQ374" s="123">
        <f>AO374/(1+AP374)</f>
      </c>
      <c r="AR374">
        <f>L374</f>
      </c>
    </row>
    <row r="375">
      <c r="A375" t="str">
        <v>国内</v>
      </c>
      <c r="B375" t="str">
        <v>VL</v>
      </c>
      <c r="C375" t="str">
        <v>文创</v>
      </c>
      <c r="D375" t="str" xml:space="preserve">
        <v> </v>
      </c>
      <c r="E375" t="str" xml:space="preserve">
        <v> </v>
      </c>
      <c r="F375" t="str" xml:space="preserve">
        <v> </v>
      </c>
      <c r="G375" t="str">
        <v>YP2024010001</v>
      </c>
      <c r="H375">
        <v>20240311</v>
      </c>
      <c r="I375" t="str">
        <v>华南</v>
      </c>
      <c r="J375" t="str">
        <v>深圳</v>
      </c>
      <c r="K375" s="124">
        <v>11000</v>
      </c>
      <c r="L375" t="str">
        <v>CNY</v>
      </c>
      <c r="N375" t="str">
        <v>待确认</v>
      </c>
      <c r="P375">
        <f>G375</f>
      </c>
      <c r="Q375" s="125"/>
      <c r="T375">
        <f>B375</f>
      </c>
      <c r="Y375" s="123"/>
      <c r="Z375" s="123"/>
      <c r="AA375" s="123"/>
      <c r="AB375" s="123"/>
      <c r="AC375" s="125"/>
      <c r="AO375">
        <f>K375</f>
      </c>
      <c r="AQ375" s="123">
        <f>AO375/(1+AP375)</f>
      </c>
      <c r="AR375">
        <f>L375</f>
      </c>
    </row>
    <row r="376">
      <c r="A376" t="str">
        <v>国内</v>
      </c>
      <c r="B376" t="str">
        <v>VL</v>
      </c>
      <c r="C376" t="str">
        <v>文创</v>
      </c>
      <c r="D376" t="str" xml:space="preserve">
        <v> </v>
      </c>
      <c r="E376" t="str" xml:space="preserve">
        <v> </v>
      </c>
      <c r="F376" t="str" xml:space="preserve">
        <v> </v>
      </c>
      <c r="G376" t="str">
        <v>JW20240116-1903-增补</v>
      </c>
      <c r="H376">
        <v>20240311</v>
      </c>
      <c r="I376" t="str">
        <v>华南</v>
      </c>
      <c r="J376" t="str">
        <v>广州</v>
      </c>
      <c r="K376" s="124">
        <v>8100</v>
      </c>
      <c r="L376" t="str">
        <v>CNY</v>
      </c>
      <c r="N376" t="str">
        <v>待确认</v>
      </c>
      <c r="P376">
        <f>G376</f>
      </c>
      <c r="Q376" s="125"/>
      <c r="T376">
        <f>B376</f>
      </c>
      <c r="Y376" s="123"/>
      <c r="Z376" s="123"/>
      <c r="AA376" s="123"/>
      <c r="AB376" s="123"/>
      <c r="AC376" s="125"/>
      <c r="AO376">
        <f>K376</f>
      </c>
      <c r="AQ376" s="123">
        <f>AO376/(1+AP376)</f>
      </c>
      <c r="AR376">
        <f>L376</f>
      </c>
    </row>
    <row r="377">
      <c r="A377" t="str">
        <v>国内</v>
      </c>
      <c r="B377" t="str">
        <v>VL</v>
      </c>
      <c r="C377" t="str">
        <v>文创</v>
      </c>
      <c r="D377" t="str" xml:space="preserve">
        <v> </v>
      </c>
      <c r="E377" t="str" xml:space="preserve">
        <v> </v>
      </c>
      <c r="F377" t="str" xml:space="preserve">
        <v> </v>
      </c>
      <c r="G377" t="str">
        <v>YP2024010001</v>
      </c>
      <c r="H377">
        <v>20240311</v>
      </c>
      <c r="I377" t="str">
        <v>华南</v>
      </c>
      <c r="J377" t="str">
        <v>深圳</v>
      </c>
      <c r="K377" s="124">
        <v>11000</v>
      </c>
      <c r="L377" t="str">
        <v>CNY</v>
      </c>
      <c r="N377" t="str">
        <v>待确认</v>
      </c>
      <c r="P377">
        <f>G377</f>
      </c>
      <c r="Q377" s="125"/>
      <c r="T377">
        <f>B377</f>
      </c>
      <c r="Y377" s="123"/>
      <c r="Z377" s="123"/>
      <c r="AA377" s="123"/>
      <c r="AB377" s="123"/>
      <c r="AC377" s="125"/>
      <c r="AO377">
        <f>K377</f>
      </c>
      <c r="AQ377" s="123">
        <f>AO377/(1+AP377)</f>
      </c>
      <c r="AR377">
        <f>L377</f>
      </c>
    </row>
    <row r="378">
      <c r="A378" t="str">
        <v>国内</v>
      </c>
      <c r="B378" t="str">
        <v>VL</v>
      </c>
      <c r="C378" t="str">
        <v>文创</v>
      </c>
      <c r="D378" t="str" xml:space="preserve">
        <v> </v>
      </c>
      <c r="E378" t="str" xml:space="preserve">
        <v> </v>
      </c>
      <c r="F378" t="str" xml:space="preserve">
        <v> </v>
      </c>
      <c r="G378" t="str">
        <v>JW20231215-1890-2</v>
      </c>
      <c r="H378">
        <v>20240228</v>
      </c>
      <c r="I378" t="str">
        <v>西南</v>
      </c>
      <c r="J378" t="str">
        <v>四川</v>
      </c>
      <c r="K378" s="124">
        <v>16670000</v>
      </c>
      <c r="L378" t="str">
        <v>CNY</v>
      </c>
      <c r="N378" t="str">
        <v>待确认</v>
      </c>
      <c r="P378">
        <f>G378</f>
      </c>
      <c r="Q378" s="125"/>
      <c r="T378">
        <f>B378</f>
      </c>
      <c r="Y378" s="123"/>
      <c r="Z378" s="123"/>
      <c r="AA378" s="123"/>
      <c r="AB378" s="123"/>
      <c r="AC378" s="125"/>
      <c r="AO378">
        <f>K378</f>
      </c>
      <c r="AQ378" s="123">
        <f>AO378/(1+AP378)</f>
      </c>
      <c r="AR378">
        <f>L378</f>
      </c>
    </row>
    <row r="379">
      <c r="A379" t="str">
        <v>国内</v>
      </c>
      <c r="B379" t="str">
        <v>VL</v>
      </c>
      <c r="C379" t="str">
        <v>文创</v>
      </c>
      <c r="D379" t="str" xml:space="preserve">
        <v> </v>
      </c>
      <c r="E379" t="str" xml:space="preserve">
        <v> </v>
      </c>
      <c r="F379" t="str" xml:space="preserve">
        <v> </v>
      </c>
      <c r="G379" t="str">
        <v>JW20231215-1890-2</v>
      </c>
      <c r="H379">
        <v>20240228</v>
      </c>
      <c r="I379" t="str">
        <v>西南</v>
      </c>
      <c r="J379" t="str">
        <v>四川</v>
      </c>
      <c r="K379" s="124">
        <v>16670000</v>
      </c>
      <c r="L379" t="str">
        <v>CNY</v>
      </c>
      <c r="N379" t="str">
        <v>待确认</v>
      </c>
      <c r="P379">
        <f>G379</f>
      </c>
      <c r="Q379" s="125"/>
      <c r="T379">
        <f>B379</f>
      </c>
      <c r="Y379" s="123"/>
      <c r="Z379" s="123"/>
      <c r="AA379" s="123"/>
      <c r="AB379" s="123"/>
      <c r="AC379" s="125"/>
      <c r="AO379">
        <f>K379</f>
      </c>
      <c r="AQ379" s="123">
        <f>AO379/(1+AP379)</f>
      </c>
      <c r="AR379">
        <f>L379</f>
      </c>
    </row>
    <row r="380">
      <c r="A380" t="str">
        <v>国内</v>
      </c>
      <c r="B380" t="str">
        <v>VL</v>
      </c>
      <c r="C380" t="str">
        <v>文创</v>
      </c>
      <c r="D380" t="str" xml:space="preserve">
        <v> </v>
      </c>
      <c r="E380" t="str" xml:space="preserve">
        <v> </v>
      </c>
      <c r="F380" t="str" xml:space="preserve">
        <v> </v>
      </c>
      <c r="G380" t="str">
        <v>JW20240122-C014</v>
      </c>
      <c r="H380">
        <v>20240227</v>
      </c>
      <c r="I380" t="str">
        <v>华南</v>
      </c>
      <c r="J380" t="str">
        <v>深圳</v>
      </c>
      <c r="K380" s="126">
        <v>242642.4</v>
      </c>
      <c r="L380" t="str">
        <v>CNY</v>
      </c>
      <c r="N380" t="str">
        <v>待确认</v>
      </c>
      <c r="P380">
        <f>G380</f>
      </c>
      <c r="Q380" s="125"/>
      <c r="T380">
        <f>B380</f>
      </c>
      <c r="Y380" s="123"/>
      <c r="Z380" s="123"/>
      <c r="AA380" s="123"/>
      <c r="AB380" s="123"/>
      <c r="AC380" s="125"/>
      <c r="AO380">
        <f>K380</f>
      </c>
      <c r="AQ380" s="123">
        <f>AO380/(1+AP380)</f>
      </c>
      <c r="AR380">
        <f>L380</f>
      </c>
    </row>
    <row r="381">
      <c r="A381" t="str">
        <v>国内</v>
      </c>
      <c r="B381" t="str">
        <v>VL</v>
      </c>
      <c r="C381" t="str">
        <v>文创</v>
      </c>
      <c r="D381" t="str" xml:space="preserve">
        <v> </v>
      </c>
      <c r="E381" t="str" xml:space="preserve">
        <v> </v>
      </c>
      <c r="F381" t="str" xml:space="preserve">
        <v> </v>
      </c>
      <c r="G381" t="str">
        <v>JW20240112-C013</v>
      </c>
      <c r="H381">
        <v>20240227</v>
      </c>
      <c r="I381" t="str">
        <v>华南</v>
      </c>
      <c r="J381" t="str">
        <v>深圳</v>
      </c>
      <c r="K381" s="124">
        <v>84822</v>
      </c>
      <c r="L381" t="str">
        <v>CNY</v>
      </c>
      <c r="N381" t="str">
        <v>待确认</v>
      </c>
      <c r="P381">
        <f>G381</f>
      </c>
      <c r="Q381" s="125"/>
      <c r="T381">
        <f>B381</f>
      </c>
      <c r="Y381" s="123"/>
      <c r="Z381" s="123"/>
      <c r="AA381" s="123"/>
      <c r="AB381" s="123"/>
      <c r="AC381" s="125"/>
      <c r="AO381">
        <f>K381</f>
      </c>
      <c r="AQ381" s="123">
        <f>AO381/(1+AP381)</f>
      </c>
      <c r="AR381">
        <f>L381</f>
      </c>
    </row>
    <row r="382">
      <c r="A382" t="str">
        <v>国内</v>
      </c>
      <c r="B382" t="str">
        <v>VL</v>
      </c>
      <c r="C382" t="str">
        <v>文创</v>
      </c>
      <c r="D382" t="str" xml:space="preserve">
        <v> </v>
      </c>
      <c r="E382" t="str" xml:space="preserve">
        <v> </v>
      </c>
      <c r="F382" t="str" xml:space="preserve">
        <v> </v>
      </c>
      <c r="G382" t="str">
        <v>JW20240122-C014</v>
      </c>
      <c r="H382">
        <v>20240227</v>
      </c>
      <c r="I382" t="str">
        <v>华南</v>
      </c>
      <c r="J382" t="str">
        <v>深圳</v>
      </c>
      <c r="K382" s="126">
        <v>242642.4</v>
      </c>
      <c r="L382" t="str">
        <v>CNY</v>
      </c>
      <c r="N382" t="str">
        <v>待确认</v>
      </c>
      <c r="P382">
        <f>G382</f>
      </c>
      <c r="Q382" s="125"/>
      <c r="T382">
        <f>B382</f>
      </c>
      <c r="Y382" s="123"/>
      <c r="Z382" s="123"/>
      <c r="AA382" s="123"/>
      <c r="AB382" s="123"/>
      <c r="AC382" s="125"/>
      <c r="AO382">
        <f>K382</f>
      </c>
      <c r="AQ382" s="123">
        <f>AO382/(1+AP382)</f>
      </c>
      <c r="AR382">
        <f>L382</f>
      </c>
    </row>
    <row r="383">
      <c r="A383" t="str">
        <v>国内</v>
      </c>
      <c r="B383" t="str">
        <v>VL</v>
      </c>
      <c r="C383" t="str">
        <v>文创</v>
      </c>
      <c r="D383" t="str" xml:space="preserve">
        <v> </v>
      </c>
      <c r="E383" t="str" xml:space="preserve">
        <v> </v>
      </c>
      <c r="F383" t="str" xml:space="preserve">
        <v> </v>
      </c>
      <c r="G383" t="str">
        <v>JW20240112-C013</v>
      </c>
      <c r="H383">
        <v>20240227</v>
      </c>
      <c r="I383" t="str">
        <v>华南</v>
      </c>
      <c r="J383" t="str">
        <v>深圳</v>
      </c>
      <c r="K383" s="124">
        <v>84822</v>
      </c>
      <c r="L383" t="str">
        <v>CNY</v>
      </c>
      <c r="N383" t="str">
        <v>待确认</v>
      </c>
      <c r="P383">
        <f>G383</f>
      </c>
      <c r="Q383" s="125"/>
      <c r="T383">
        <f>B383</f>
      </c>
      <c r="Y383" s="123"/>
      <c r="Z383" s="123"/>
      <c r="AA383" s="123"/>
      <c r="AB383" s="123"/>
      <c r="AC383" s="125"/>
      <c r="AO383">
        <f>K383</f>
      </c>
      <c r="AQ383" s="123">
        <f>AO383/(1+AP383)</f>
      </c>
      <c r="AR383">
        <f>L383</f>
      </c>
    </row>
    <row r="384">
      <c r="A384" t="str">
        <v>国内</v>
      </c>
      <c r="B384" t="str">
        <v>VL</v>
      </c>
      <c r="C384" t="str">
        <v>文创</v>
      </c>
      <c r="D384" t="str" xml:space="preserve">
        <v> </v>
      </c>
      <c r="E384" t="str" xml:space="preserve">
        <v> </v>
      </c>
      <c r="F384" t="str" xml:space="preserve">
        <v> </v>
      </c>
      <c r="G384" t="str">
        <v>OP2023120343-增补</v>
      </c>
      <c r="H384">
        <v>20240226</v>
      </c>
      <c r="I384" t="str">
        <v>华东</v>
      </c>
      <c r="J384" t="str">
        <v>浙江</v>
      </c>
      <c r="K384" s="124">
        <v>329300</v>
      </c>
      <c r="L384" t="str">
        <v>CNY</v>
      </c>
      <c r="N384" t="str">
        <v>待确认</v>
      </c>
      <c r="P384">
        <f>G384</f>
      </c>
      <c r="Q384" s="125"/>
      <c r="T384">
        <f>B384</f>
      </c>
      <c r="Y384" s="123"/>
      <c r="Z384" s="123"/>
      <c r="AA384" s="123"/>
      <c r="AB384" s="123"/>
      <c r="AC384" s="125"/>
      <c r="AO384">
        <f>K384</f>
      </c>
      <c r="AQ384" s="123">
        <f>AO384/(1+AP384)</f>
      </c>
      <c r="AR384">
        <f>L384</f>
      </c>
    </row>
    <row r="385">
      <c r="A385" t="str">
        <v>国内</v>
      </c>
      <c r="B385" t="str">
        <v>VL</v>
      </c>
      <c r="C385" t="str">
        <v>文创</v>
      </c>
      <c r="D385" t="str" xml:space="preserve">
        <v> </v>
      </c>
      <c r="E385" t="str" xml:space="preserve">
        <v> </v>
      </c>
      <c r="F385" t="str" xml:space="preserve">
        <v> </v>
      </c>
      <c r="G385" t="str">
        <v>OP2023120342</v>
      </c>
      <c r="H385">
        <v>20240226</v>
      </c>
      <c r="I385" t="str">
        <v>华东</v>
      </c>
      <c r="J385" t="str">
        <v>浙江</v>
      </c>
      <c r="K385" s="124">
        <v>3647000</v>
      </c>
      <c r="L385" t="str">
        <v>CNY</v>
      </c>
      <c r="N385" t="str">
        <v>待确认</v>
      </c>
      <c r="P385">
        <f>G385</f>
      </c>
      <c r="Q385" s="125"/>
      <c r="T385">
        <f>B385</f>
      </c>
      <c r="Y385" s="123"/>
      <c r="Z385" s="123"/>
      <c r="AA385" s="123"/>
      <c r="AB385" s="123"/>
      <c r="AC385" s="125"/>
      <c r="AO385">
        <f>K385</f>
      </c>
      <c r="AQ385" s="123">
        <f>AO385/(1+AP385)</f>
      </c>
      <c r="AR385">
        <f>L385</f>
      </c>
    </row>
    <row r="386">
      <c r="A386" t="str">
        <v>国内</v>
      </c>
      <c r="B386" t="str">
        <v>VL</v>
      </c>
      <c r="C386" t="str">
        <v>文创</v>
      </c>
      <c r="D386" t="str" xml:space="preserve">
        <v> </v>
      </c>
      <c r="E386" t="str" xml:space="preserve">
        <v> </v>
      </c>
      <c r="F386" t="str" xml:space="preserve">
        <v> </v>
      </c>
      <c r="G386" t="str">
        <v>OP2023120343</v>
      </c>
      <c r="H386">
        <v>20240226</v>
      </c>
      <c r="I386" t="str">
        <v>华东</v>
      </c>
      <c r="J386" t="str">
        <v>浙江</v>
      </c>
      <c r="K386" s="124">
        <v>1266230</v>
      </c>
      <c r="L386" t="str">
        <v>CNY</v>
      </c>
      <c r="N386" t="str">
        <v>待确认</v>
      </c>
      <c r="P386">
        <f>G386</f>
      </c>
      <c r="Q386" s="125"/>
      <c r="T386">
        <f>B386</f>
      </c>
      <c r="Y386" s="123"/>
      <c r="Z386" s="123"/>
      <c r="AA386" s="123"/>
      <c r="AB386" s="123"/>
      <c r="AC386" s="125"/>
      <c r="AO386">
        <f>K386</f>
      </c>
      <c r="AQ386" s="123">
        <f>AO386/(1+AP386)</f>
      </c>
      <c r="AR386">
        <f>L386</f>
      </c>
    </row>
    <row r="387">
      <c r="A387" t="str">
        <v>国内</v>
      </c>
      <c r="B387" t="str">
        <v>VL</v>
      </c>
      <c r="C387" t="str">
        <v>文创</v>
      </c>
      <c r="D387" t="str" xml:space="preserve">
        <v> </v>
      </c>
      <c r="E387" t="str" xml:space="preserve">
        <v> </v>
      </c>
      <c r="F387" t="str" xml:space="preserve">
        <v> </v>
      </c>
      <c r="G387" t="str">
        <v>OP2023120342</v>
      </c>
      <c r="H387">
        <v>20240226</v>
      </c>
      <c r="I387" t="str">
        <v>华东</v>
      </c>
      <c r="J387" t="str">
        <v>浙江</v>
      </c>
      <c r="K387" s="124">
        <v>3647000</v>
      </c>
      <c r="L387" t="str">
        <v>CNY</v>
      </c>
      <c r="N387" t="str">
        <v>待确认</v>
      </c>
      <c r="P387">
        <f>G387</f>
      </c>
      <c r="Q387" s="125"/>
      <c r="T387">
        <f>B387</f>
      </c>
      <c r="Y387" s="123"/>
      <c r="Z387" s="123"/>
      <c r="AA387" s="123"/>
      <c r="AB387" s="123"/>
      <c r="AC387" s="125"/>
      <c r="AO387">
        <f>K387</f>
      </c>
      <c r="AQ387" s="123">
        <f>AO387/(1+AP387)</f>
      </c>
      <c r="AR387">
        <f>L387</f>
      </c>
    </row>
    <row r="388">
      <c r="A388" t="str">
        <v>国内</v>
      </c>
      <c r="B388" t="str">
        <v>VL</v>
      </c>
      <c r="C388" t="str">
        <v>文创</v>
      </c>
      <c r="D388" t="str" xml:space="preserve">
        <v> </v>
      </c>
      <c r="E388" t="str" xml:space="preserve">
        <v> </v>
      </c>
      <c r="F388" t="str" xml:space="preserve">
        <v> </v>
      </c>
      <c r="G388" t="str">
        <v>OP2023120343-增补</v>
      </c>
      <c r="H388">
        <v>20240226</v>
      </c>
      <c r="I388" t="str">
        <v>华东</v>
      </c>
      <c r="J388" t="str">
        <v>浙江</v>
      </c>
      <c r="K388" s="124">
        <v>329300</v>
      </c>
      <c r="L388" t="str">
        <v>CNY</v>
      </c>
      <c r="N388" t="str">
        <v>待确认</v>
      </c>
      <c r="P388">
        <f>G388</f>
      </c>
      <c r="Q388" s="125"/>
      <c r="T388">
        <f>B388</f>
      </c>
      <c r="Y388" s="123"/>
      <c r="Z388" s="123"/>
      <c r="AA388" s="123"/>
      <c r="AB388" s="123"/>
      <c r="AC388" s="125"/>
      <c r="AO388">
        <f>K388</f>
      </c>
      <c r="AQ388" s="123">
        <f>AO388/(1+AP388)</f>
      </c>
      <c r="AR388">
        <f>L388</f>
      </c>
    </row>
    <row r="389">
      <c r="A389" t="str">
        <v>国内</v>
      </c>
      <c r="B389" t="str">
        <v>VL</v>
      </c>
      <c r="C389" t="str">
        <v>文创</v>
      </c>
      <c r="D389" t="str" xml:space="preserve">
        <v> </v>
      </c>
      <c r="E389" t="str" xml:space="preserve">
        <v> </v>
      </c>
      <c r="F389" t="str" xml:space="preserve">
        <v> </v>
      </c>
      <c r="G389" t="str">
        <v>OP2023120343</v>
      </c>
      <c r="H389">
        <v>20240226</v>
      </c>
      <c r="I389" t="str">
        <v>华东</v>
      </c>
      <c r="J389" t="str">
        <v>浙江</v>
      </c>
      <c r="K389" s="124">
        <v>1266230</v>
      </c>
      <c r="L389" t="str">
        <v>CNY</v>
      </c>
      <c r="N389" t="str">
        <v>待确认</v>
      </c>
      <c r="P389">
        <f>G389</f>
      </c>
      <c r="Q389" s="125"/>
      <c r="T389">
        <f>B389</f>
      </c>
      <c r="Y389" s="123"/>
      <c r="Z389" s="123"/>
      <c r="AA389" s="123"/>
      <c r="AB389" s="123"/>
      <c r="AC389" s="125"/>
      <c r="AO389">
        <f>K389</f>
      </c>
      <c r="AQ389" s="123">
        <f>AO389/(1+AP389)</f>
      </c>
      <c r="AR389">
        <f>L389</f>
      </c>
    </row>
    <row r="390">
      <c r="A390" t="str">
        <v>国内</v>
      </c>
      <c r="B390" t="str">
        <v>VL</v>
      </c>
      <c r="C390" t="str">
        <v>文创</v>
      </c>
      <c r="D390" t="str" xml:space="preserve">
        <v> </v>
      </c>
      <c r="E390" t="str" xml:space="preserve">
        <v> </v>
      </c>
      <c r="F390" t="str" xml:space="preserve">
        <v> </v>
      </c>
      <c r="G390" t="str">
        <v>JW20231205-1886</v>
      </c>
      <c r="H390">
        <v>20240124</v>
      </c>
      <c r="I390" t="str">
        <v>东中</v>
      </c>
      <c r="J390" t="str">
        <v>安徽</v>
      </c>
      <c r="K390" s="124">
        <v>1250023</v>
      </c>
      <c r="L390" t="str">
        <v>CNY</v>
      </c>
      <c r="N390" t="str">
        <v>待确认</v>
      </c>
      <c r="P390">
        <f>G390</f>
      </c>
      <c r="Q390" s="125"/>
      <c r="T390">
        <f>B390</f>
      </c>
      <c r="Y390" s="123"/>
      <c r="Z390" s="123"/>
      <c r="AA390" s="123"/>
      <c r="AB390" s="123"/>
      <c r="AC390" s="125"/>
      <c r="AO390">
        <f>K390</f>
      </c>
      <c r="AQ390" s="123">
        <f>AO390/(1+AP390)</f>
      </c>
      <c r="AR390">
        <f>L390</f>
      </c>
    </row>
    <row r="391">
      <c r="A391" t="str">
        <v>国内</v>
      </c>
      <c r="B391" t="str">
        <v>VL</v>
      </c>
      <c r="C391" t="str">
        <v>文创</v>
      </c>
      <c r="D391" t="str" xml:space="preserve">
        <v> </v>
      </c>
      <c r="E391" t="str" xml:space="preserve">
        <v> </v>
      </c>
      <c r="F391" t="str" xml:space="preserve">
        <v> </v>
      </c>
      <c r="G391" t="str">
        <v>JW20240116-1903</v>
      </c>
      <c r="H391">
        <v>20240124</v>
      </c>
      <c r="I391" t="str">
        <v>华南</v>
      </c>
      <c r="J391" t="str">
        <v>广州</v>
      </c>
      <c r="K391" s="124">
        <v>55920</v>
      </c>
      <c r="L391" t="str">
        <v>CNY</v>
      </c>
      <c r="N391" t="str">
        <v>待确认</v>
      </c>
      <c r="P391">
        <f>G391</f>
      </c>
      <c r="Q391" s="125"/>
      <c r="T391">
        <f>B391</f>
      </c>
      <c r="Y391" s="123"/>
      <c r="Z391" s="123"/>
      <c r="AA391" s="123"/>
      <c r="AB391" s="123"/>
      <c r="AC391" s="125"/>
      <c r="AO391">
        <f>K391</f>
      </c>
      <c r="AQ391" s="123">
        <f>AO391/(1+AP391)</f>
      </c>
      <c r="AR391">
        <f>L391</f>
      </c>
    </row>
    <row r="392">
      <c r="A392" t="str">
        <v>国内</v>
      </c>
      <c r="B392" t="str">
        <v>VL</v>
      </c>
      <c r="C392" t="str">
        <v>文创</v>
      </c>
      <c r="D392" t="str" xml:space="preserve">
        <v> </v>
      </c>
      <c r="E392" t="str" xml:space="preserve">
        <v> </v>
      </c>
      <c r="F392" t="str" xml:space="preserve">
        <v> </v>
      </c>
      <c r="G392" t="str">
        <v>JW20231205-1886</v>
      </c>
      <c r="H392">
        <v>20240124</v>
      </c>
      <c r="I392" t="str">
        <v>东中</v>
      </c>
      <c r="J392" t="str">
        <v>安徽</v>
      </c>
      <c r="K392" s="124">
        <v>1250023</v>
      </c>
      <c r="L392" t="str">
        <v>CNY</v>
      </c>
      <c r="N392" t="str">
        <v>待确认</v>
      </c>
      <c r="P392">
        <f>G392</f>
      </c>
      <c r="Q392" s="125"/>
      <c r="T392">
        <f>B392</f>
      </c>
      <c r="Y392" s="123"/>
      <c r="Z392" s="123"/>
      <c r="AA392" s="123"/>
      <c r="AB392" s="123"/>
      <c r="AC392" s="125"/>
      <c r="AO392">
        <f>K392</f>
      </c>
      <c r="AQ392" s="123">
        <f>AO392/(1+AP392)</f>
      </c>
      <c r="AR392">
        <f>L392</f>
      </c>
    </row>
    <row r="393">
      <c r="A393" t="str">
        <v>国内</v>
      </c>
      <c r="B393" t="str">
        <v>VL</v>
      </c>
      <c r="C393" t="str">
        <v>文创</v>
      </c>
      <c r="D393" t="str" xml:space="preserve">
        <v> </v>
      </c>
      <c r="E393" t="str" xml:space="preserve">
        <v> </v>
      </c>
      <c r="F393" t="str" xml:space="preserve">
        <v> </v>
      </c>
      <c r="G393" t="str">
        <v>JW20240116-1903</v>
      </c>
      <c r="H393">
        <v>20240124</v>
      </c>
      <c r="I393" t="str">
        <v>华南</v>
      </c>
      <c r="J393" t="str">
        <v>广州</v>
      </c>
      <c r="K393" s="124">
        <v>55920</v>
      </c>
      <c r="L393" t="str">
        <v>CNY</v>
      </c>
      <c r="N393" t="str">
        <v>待确认</v>
      </c>
      <c r="P393">
        <f>G393</f>
      </c>
      <c r="Q393" s="125"/>
      <c r="T393">
        <f>B393</f>
      </c>
      <c r="Y393" s="123"/>
      <c r="Z393" s="123"/>
      <c r="AA393" s="123"/>
      <c r="AB393" s="123"/>
      <c r="AC393" s="125"/>
      <c r="AO393">
        <f>K393</f>
      </c>
      <c r="AQ393" s="123">
        <f>AO393/(1+AP393)</f>
      </c>
      <c r="AR393">
        <f>L393</f>
      </c>
    </row>
    <row r="394">
      <c r="A394" t="str">
        <v>国内</v>
      </c>
      <c r="B394" t="str">
        <v>VL</v>
      </c>
      <c r="C394" t="str">
        <v>文创</v>
      </c>
      <c r="D394" t="str" xml:space="preserve">
        <v> </v>
      </c>
      <c r="E394" t="str" xml:space="preserve">
        <v> </v>
      </c>
      <c r="F394" t="str" xml:space="preserve">
        <v> </v>
      </c>
      <c r="G394" t="str">
        <v>OP2023120340</v>
      </c>
      <c r="H394">
        <v>20240122</v>
      </c>
      <c r="I394" t="str">
        <v>华北</v>
      </c>
      <c r="J394" t="str">
        <v>北京</v>
      </c>
      <c r="K394" s="124">
        <v>2490000</v>
      </c>
      <c r="L394" t="str">
        <v>CNY</v>
      </c>
      <c r="N394" t="str">
        <v>待确认</v>
      </c>
      <c r="P394">
        <f>G394</f>
      </c>
      <c r="Q394" s="125"/>
      <c r="T394">
        <f>B394</f>
      </c>
      <c r="Y394" s="123"/>
      <c r="Z394" s="123"/>
      <c r="AA394" s="123"/>
      <c r="AB394" s="123"/>
      <c r="AC394" s="125"/>
      <c r="AO394">
        <f>K394</f>
      </c>
      <c r="AQ394" s="123">
        <f>AO394/(1+AP394)</f>
      </c>
      <c r="AR394">
        <f>L394</f>
      </c>
    </row>
    <row r="395">
      <c r="A395" t="str">
        <v>国内</v>
      </c>
      <c r="B395" t="str">
        <v>VL</v>
      </c>
      <c r="C395" t="str">
        <v>文创</v>
      </c>
      <c r="D395" t="str" xml:space="preserve">
        <v> </v>
      </c>
      <c r="E395" t="str" xml:space="preserve">
        <v> </v>
      </c>
      <c r="F395" t="str" xml:space="preserve">
        <v> </v>
      </c>
      <c r="G395" t="str">
        <v>OP2023120340</v>
      </c>
      <c r="H395">
        <v>20240122</v>
      </c>
      <c r="I395" t="str">
        <v>华北</v>
      </c>
      <c r="J395" t="str">
        <v>北京</v>
      </c>
      <c r="K395" s="124">
        <v>2490000</v>
      </c>
      <c r="L395" t="str">
        <v>CNY</v>
      </c>
      <c r="N395" t="str">
        <v>待确认</v>
      </c>
      <c r="P395">
        <f>G395</f>
      </c>
      <c r="Q395" s="125"/>
      <c r="T395">
        <f>B395</f>
      </c>
      <c r="Y395" s="123"/>
      <c r="Z395" s="123"/>
      <c r="AA395" s="123"/>
      <c r="AB395" s="123"/>
      <c r="AC395" s="125"/>
      <c r="AO395">
        <f>K395</f>
      </c>
      <c r="AQ395" s="123">
        <f>AO395/(1+AP395)</f>
      </c>
      <c r="AR395">
        <f>L395</f>
      </c>
    </row>
    <row r="396">
      <c r="A396" t="str">
        <v>国内</v>
      </c>
      <c r="B396" t="str">
        <v>VL</v>
      </c>
      <c r="C396" t="str">
        <v>文创</v>
      </c>
      <c r="D396" t="str" xml:space="preserve">
        <v> </v>
      </c>
      <c r="E396" t="str" xml:space="preserve">
        <v> </v>
      </c>
      <c r="F396" t="str" xml:space="preserve">
        <v> </v>
      </c>
      <c r="G396" t="str">
        <v>JW20231215-1890-1</v>
      </c>
      <c r="H396">
        <v>20240110</v>
      </c>
      <c r="I396" t="str">
        <v>西南</v>
      </c>
      <c r="J396" t="str">
        <v>四川</v>
      </c>
      <c r="K396" s="124">
        <v>1130000</v>
      </c>
      <c r="L396" t="str">
        <v>CNY</v>
      </c>
      <c r="N396" t="str">
        <v>待确认</v>
      </c>
      <c r="P396">
        <f>G396</f>
      </c>
      <c r="Q396" s="125"/>
      <c r="T396">
        <f>B396</f>
      </c>
      <c r="Y396" s="123"/>
      <c r="Z396" s="123"/>
      <c r="AA396" s="123"/>
      <c r="AB396" s="123"/>
      <c r="AC396" s="125"/>
      <c r="AO396">
        <f>K396</f>
      </c>
      <c r="AQ396" s="123">
        <f>AO396/(1+AP396)</f>
      </c>
      <c r="AR396">
        <f>L396</f>
      </c>
    </row>
    <row r="397">
      <c r="A397" t="str">
        <v>国内</v>
      </c>
      <c r="B397" t="str">
        <v>VL</v>
      </c>
      <c r="C397" t="str">
        <v>文创</v>
      </c>
      <c r="D397" t="str" xml:space="preserve">
        <v> </v>
      </c>
      <c r="E397" t="str" xml:space="preserve">
        <v> </v>
      </c>
      <c r="F397" t="str" xml:space="preserve">
        <v> </v>
      </c>
      <c r="G397" t="str">
        <v>JW20231215-1890-1</v>
      </c>
      <c r="H397">
        <v>20240110</v>
      </c>
      <c r="I397" t="str">
        <v>西南</v>
      </c>
      <c r="J397" t="str">
        <v>四川</v>
      </c>
      <c r="K397" s="124">
        <v>1130000</v>
      </c>
      <c r="L397" t="str">
        <v>CNY</v>
      </c>
      <c r="N397" t="str">
        <v>待确认</v>
      </c>
      <c r="P397">
        <f>G397</f>
      </c>
      <c r="Q397" s="125"/>
      <c r="T397">
        <f>B397</f>
      </c>
      <c r="Y397" s="123"/>
      <c r="Z397" s="123"/>
      <c r="AA397" s="123"/>
      <c r="AB397" s="123"/>
      <c r="AC397" s="125"/>
      <c r="AO397">
        <f>K397</f>
      </c>
      <c r="AQ397" s="123">
        <f>AO397/(1+AP397)</f>
      </c>
      <c r="AR397">
        <f>L397</f>
      </c>
    </row>
    <row r="398">
      <c r="A398" t="str">
        <v>国际</v>
      </c>
      <c r="B398" t="str">
        <v>VA</v>
      </c>
      <c r="C398" t="str" xml:space="preserve">
        <v> </v>
      </c>
      <c r="D398" t="str">
        <v>固装</v>
      </c>
      <c r="E398" t="str" xml:space="preserve">
        <v> </v>
      </c>
      <c r="F398" t="str" xml:space="preserve">
        <v> </v>
      </c>
      <c r="G398" t="str">
        <v>AUO2F4487-1</v>
      </c>
      <c r="H398">
        <v>20260105</v>
      </c>
      <c r="I398" t="str">
        <v>中东非区</v>
      </c>
      <c r="J398" t="str">
        <v>海湾二区</v>
      </c>
      <c r="K398" s="124">
        <v>730000</v>
      </c>
      <c r="L398" t="str">
        <v>USD</v>
      </c>
      <c r="N398" t="str">
        <v>待确认</v>
      </c>
      <c r="P398">
        <f>G398</f>
      </c>
      <c r="Q398" s="125"/>
      <c r="T398">
        <f>B398</f>
      </c>
      <c r="Y398" s="123"/>
      <c r="Z398" s="123"/>
      <c r="AA398" s="123"/>
      <c r="AB398" s="123"/>
      <c r="AC398" s="125"/>
      <c r="AO398">
        <f>K398</f>
      </c>
      <c r="AQ398" s="123">
        <f>AO398/(1+AP398)</f>
      </c>
      <c r="AR398">
        <f>L398</f>
      </c>
    </row>
    <row r="399">
      <c r="A399" t="str">
        <v>国际</v>
      </c>
      <c r="B399" t="str">
        <v>VA</v>
      </c>
      <c r="C399" t="str" xml:space="preserve">
        <v> </v>
      </c>
      <c r="D399" t="str">
        <v>固装</v>
      </c>
      <c r="E399" t="str" xml:space="preserve">
        <v> </v>
      </c>
      <c r="F399" t="str" xml:space="preserve">
        <v> </v>
      </c>
      <c r="G399" t="str">
        <v>AUO2F4487</v>
      </c>
      <c r="H399">
        <v>20260105</v>
      </c>
      <c r="I399" t="str">
        <v>中东非区</v>
      </c>
      <c r="J399" t="str">
        <v>海湾二区</v>
      </c>
      <c r="K399" s="124">
        <v>1460000</v>
      </c>
      <c r="L399" t="str">
        <v>USD</v>
      </c>
      <c r="N399" t="str">
        <v>待确认</v>
      </c>
      <c r="P399">
        <f>G399</f>
      </c>
      <c r="Q399" s="125"/>
      <c r="T399">
        <f>B399</f>
      </c>
      <c r="Y399" s="123"/>
      <c r="Z399" s="123"/>
      <c r="AA399" s="123"/>
      <c r="AB399" s="123"/>
      <c r="AC399" s="125"/>
      <c r="AO399">
        <f>K399</f>
      </c>
      <c r="AQ399" s="123">
        <f>AO399/(1+AP399)</f>
      </c>
      <c r="AR399">
        <f>L399</f>
      </c>
    </row>
    <row r="400">
      <c r="A400" t="str">
        <v>国际</v>
      </c>
      <c r="B400" t="str">
        <v>VA</v>
      </c>
      <c r="C400" t="str" xml:space="preserve">
        <v> </v>
      </c>
      <c r="D400" t="str">
        <v>固装</v>
      </c>
      <c r="E400" t="str" xml:space="preserve">
        <v> </v>
      </c>
      <c r="F400" t="str" xml:space="preserve">
        <v> </v>
      </c>
      <c r="G400" t="str">
        <v>AUO2F5198A</v>
      </c>
      <c r="H400">
        <v>20260104</v>
      </c>
      <c r="I400" t="str">
        <v>东南欧区</v>
      </c>
      <c r="J400" t="str">
        <v>东欧群</v>
      </c>
      <c r="K400" s="126">
        <v>1146558.11</v>
      </c>
      <c r="L400" t="str">
        <v>USD</v>
      </c>
      <c r="N400" t="str">
        <v>待确认</v>
      </c>
      <c r="P400">
        <f>G400</f>
      </c>
      <c r="Q400" s="125"/>
      <c r="T400">
        <f>B400</f>
      </c>
      <c r="Y400" s="123"/>
      <c r="Z400" s="123"/>
      <c r="AA400" s="123"/>
      <c r="AB400" s="123"/>
      <c r="AC400" s="125"/>
      <c r="AO400">
        <f>K400</f>
      </c>
      <c r="AQ400" s="123">
        <f>AO400/(1+AP400)</f>
      </c>
      <c r="AR400">
        <f>L400</f>
      </c>
    </row>
    <row r="401">
      <c r="A401" t="str">
        <v>国际</v>
      </c>
      <c r="B401" t="str">
        <v>VA</v>
      </c>
      <c r="C401" t="str" xml:space="preserve">
        <v> </v>
      </c>
      <c r="D401" t="str">
        <v>蓝普分销</v>
      </c>
      <c r="E401" t="str" xml:space="preserve">
        <v> </v>
      </c>
      <c r="F401" t="str" xml:space="preserve">
        <v> </v>
      </c>
      <c r="G401" t="str">
        <v>APP2F5310E</v>
      </c>
      <c r="H401">
        <v>20260104</v>
      </c>
      <c r="I401" t="str">
        <v>中东非区</v>
      </c>
      <c r="J401" t="str">
        <v>非洲区</v>
      </c>
      <c r="K401" s="126">
        <v>30562.5</v>
      </c>
      <c r="L401" t="str">
        <v>USD</v>
      </c>
      <c r="N401" t="str">
        <v>待确认</v>
      </c>
      <c r="P401">
        <f>G401</f>
      </c>
      <c r="Q401" s="125"/>
      <c r="T401">
        <f>B401</f>
      </c>
      <c r="Y401" s="123"/>
      <c r="Z401" s="123"/>
      <c r="AA401" s="123"/>
      <c r="AB401" s="123"/>
      <c r="AC401" s="125"/>
      <c r="AO401">
        <f>K401</f>
      </c>
      <c r="AQ401" s="123">
        <f>AO401/(1+AP401)</f>
      </c>
      <c r="AR401">
        <f>L401</f>
      </c>
    </row>
    <row r="402">
      <c r="A402" t="str">
        <v>国际</v>
      </c>
      <c r="B402" t="str">
        <v>VA</v>
      </c>
      <c r="C402" t="str" xml:space="preserve">
        <v> </v>
      </c>
      <c r="D402" t="str">
        <v>蓝普分销</v>
      </c>
      <c r="E402" t="str" xml:space="preserve">
        <v> </v>
      </c>
      <c r="F402" t="str" xml:space="preserve">
        <v> </v>
      </c>
      <c r="G402" t="str">
        <v>APP2F5310C</v>
      </c>
      <c r="H402">
        <v>20260104</v>
      </c>
      <c r="I402" t="str">
        <v>中东非区</v>
      </c>
      <c r="J402" t="str">
        <v>非洲区</v>
      </c>
      <c r="K402" s="126">
        <v>21977.5</v>
      </c>
      <c r="L402" t="str">
        <v>USD</v>
      </c>
      <c r="N402" t="str">
        <v>待确认</v>
      </c>
      <c r="P402">
        <f>G402</f>
      </c>
      <c r="Q402" s="125"/>
      <c r="T402">
        <f>B402</f>
      </c>
      <c r="Y402" s="123"/>
      <c r="Z402" s="123"/>
      <c r="AA402" s="123"/>
      <c r="AB402" s="123"/>
      <c r="AC402" s="125"/>
      <c r="AO402">
        <f>K402</f>
      </c>
      <c r="AQ402" s="123">
        <f>AO402/(1+AP402)</f>
      </c>
      <c r="AR402">
        <f>L402</f>
      </c>
    </row>
    <row r="403">
      <c r="A403" t="str">
        <v>国际</v>
      </c>
      <c r="B403" t="str">
        <v>VA</v>
      </c>
      <c r="C403" t="str" xml:space="preserve">
        <v> </v>
      </c>
      <c r="D403" t="str">
        <v>蓝普分销</v>
      </c>
      <c r="E403" t="str" xml:space="preserve">
        <v> </v>
      </c>
      <c r="F403" t="str" xml:space="preserve">
        <v> </v>
      </c>
      <c r="G403" t="str">
        <v>APP2F5310A</v>
      </c>
      <c r="H403">
        <v>20260104</v>
      </c>
      <c r="I403" t="str">
        <v>中东非区</v>
      </c>
      <c r="J403" t="str">
        <v>非洲区</v>
      </c>
      <c r="K403" s="124">
        <v>218000</v>
      </c>
      <c r="L403" t="str">
        <v>USD</v>
      </c>
      <c r="N403" t="str">
        <v>待确认</v>
      </c>
      <c r="P403">
        <f>G403</f>
      </c>
      <c r="Q403" s="125"/>
      <c r="T403">
        <f>B403</f>
      </c>
      <c r="Y403" s="123"/>
      <c r="Z403" s="123"/>
      <c r="AA403" s="123"/>
      <c r="AB403" s="123"/>
      <c r="AC403" s="125"/>
      <c r="AO403">
        <f>K403</f>
      </c>
      <c r="AQ403" s="123">
        <f>AO403/(1+AP403)</f>
      </c>
      <c r="AR403">
        <f>L403</f>
      </c>
    </row>
    <row r="404">
      <c r="A404" t="str">
        <v>国际</v>
      </c>
      <c r="B404" t="str">
        <v>VA</v>
      </c>
      <c r="C404" t="str" xml:space="preserve">
        <v> </v>
      </c>
      <c r="D404" t="str">
        <v>蓝普分销</v>
      </c>
      <c r="E404" t="str" xml:space="preserve">
        <v> </v>
      </c>
      <c r="F404" t="str" xml:space="preserve">
        <v> </v>
      </c>
      <c r="G404" t="str">
        <v>APP2F5310G</v>
      </c>
      <c r="H404">
        <v>20260104</v>
      </c>
      <c r="I404" t="str">
        <v>中东非区</v>
      </c>
      <c r="J404" t="str">
        <v>非洲区</v>
      </c>
      <c r="K404" s="126">
        <v>76965.29</v>
      </c>
      <c r="L404" t="str">
        <v>USD</v>
      </c>
      <c r="N404" t="str">
        <v>待确认</v>
      </c>
      <c r="P404">
        <f>G404</f>
      </c>
      <c r="Q404" s="125"/>
      <c r="T404">
        <f>B404</f>
      </c>
      <c r="Y404" s="123"/>
      <c r="Z404" s="123"/>
      <c r="AA404" s="123"/>
      <c r="AB404" s="123"/>
      <c r="AC404" s="125"/>
      <c r="AO404">
        <f>K404</f>
      </c>
      <c r="AQ404" s="123">
        <f>AO404/(1+AP404)</f>
      </c>
      <c r="AR404">
        <f>L404</f>
      </c>
    </row>
    <row r="405">
      <c r="A405" t="str">
        <v>国际</v>
      </c>
      <c r="B405" t="str">
        <v>VA</v>
      </c>
      <c r="C405" t="str" xml:space="preserve">
        <v> </v>
      </c>
      <c r="D405" t="str">
        <v>蓝普分销</v>
      </c>
      <c r="E405" t="str" xml:space="preserve">
        <v> </v>
      </c>
      <c r="F405" t="str" xml:space="preserve">
        <v> </v>
      </c>
      <c r="G405" t="str">
        <v>APP2F5310D</v>
      </c>
      <c r="H405">
        <v>20260104</v>
      </c>
      <c r="I405" t="str">
        <v>中东非区</v>
      </c>
      <c r="J405" t="str">
        <v>非洲区</v>
      </c>
      <c r="K405" s="126">
        <v>24724.14</v>
      </c>
      <c r="L405" t="str">
        <v>USD</v>
      </c>
      <c r="N405" t="str">
        <v>待确认</v>
      </c>
      <c r="P405">
        <f>G405</f>
      </c>
      <c r="Q405" s="125"/>
      <c r="T405">
        <f>B405</f>
      </c>
      <c r="Y405" s="123"/>
      <c r="Z405" s="123"/>
      <c r="AA405" s="123"/>
      <c r="AB405" s="123"/>
      <c r="AC405" s="125"/>
      <c r="AO405">
        <f>K405</f>
      </c>
      <c r="AQ405" s="123">
        <f>AO405/(1+AP405)</f>
      </c>
      <c r="AR405">
        <f>L405</f>
      </c>
    </row>
    <row r="406">
      <c r="A406" t="str">
        <v>国际</v>
      </c>
      <c r="B406" t="str">
        <v>VA</v>
      </c>
      <c r="C406" t="str" xml:space="preserve">
        <v> </v>
      </c>
      <c r="D406" t="str">
        <v>蓝普分销</v>
      </c>
      <c r="E406" t="str" xml:space="preserve">
        <v> </v>
      </c>
      <c r="F406" t="str" xml:space="preserve">
        <v> </v>
      </c>
      <c r="G406" t="str">
        <v>APP2F5310B</v>
      </c>
      <c r="H406">
        <v>20260104</v>
      </c>
      <c r="I406" t="str">
        <v>中东非区</v>
      </c>
      <c r="J406" t="str">
        <v>非洲区</v>
      </c>
      <c r="K406" s="124">
        <v>14800</v>
      </c>
      <c r="L406" t="str">
        <v>USD</v>
      </c>
      <c r="N406" t="str">
        <v>待确认</v>
      </c>
      <c r="P406">
        <f>G406</f>
      </c>
      <c r="Q406" s="125"/>
      <c r="T406">
        <f>B406</f>
      </c>
      <c r="Y406" s="123"/>
      <c r="Z406" s="123"/>
      <c r="AA406" s="123"/>
      <c r="AB406" s="123"/>
      <c r="AC406" s="125"/>
      <c r="AO406">
        <f>K406</f>
      </c>
      <c r="AQ406" s="123">
        <f>AO406/(1+AP406)</f>
      </c>
      <c r="AR406">
        <f>L406</f>
      </c>
    </row>
    <row r="407">
      <c r="A407" t="str">
        <v>国际</v>
      </c>
      <c r="B407" t="str">
        <v>VA</v>
      </c>
      <c r="C407" t="str" xml:space="preserve">
        <v> </v>
      </c>
      <c r="D407" t="str">
        <v>蓝普工程</v>
      </c>
      <c r="E407" t="str" xml:space="preserve">
        <v> </v>
      </c>
      <c r="F407" t="str" xml:space="preserve">
        <v> </v>
      </c>
      <c r="G407" t="str">
        <v>APP2F5310F</v>
      </c>
      <c r="H407">
        <v>20260104</v>
      </c>
      <c r="I407" t="str">
        <v>中东非区</v>
      </c>
      <c r="J407" t="str">
        <v>非洲区</v>
      </c>
      <c r="K407" s="126">
        <v>8250.62</v>
      </c>
      <c r="L407" t="str">
        <v>USD</v>
      </c>
      <c r="N407" t="str">
        <v>待确认</v>
      </c>
      <c r="P407">
        <f>G407</f>
      </c>
      <c r="Q407" s="125"/>
      <c r="T407">
        <f>B407</f>
      </c>
      <c r="Y407" s="123"/>
      <c r="Z407" s="123"/>
      <c r="AA407" s="123"/>
      <c r="AB407" s="123"/>
      <c r="AC407" s="125"/>
      <c r="AO407">
        <f>K407</f>
      </c>
      <c r="AQ407" s="123">
        <f>AO407/(1+AP407)</f>
      </c>
      <c r="AR407">
        <f>L407</f>
      </c>
    </row>
    <row r="408">
      <c r="A408" t="str">
        <v>国际</v>
      </c>
      <c r="B408" t="str">
        <v>VA</v>
      </c>
      <c r="C408" t="str" xml:space="preserve">
        <v> </v>
      </c>
      <c r="D408" t="str">
        <v>新显示</v>
      </c>
      <c r="E408" t="str" xml:space="preserve">
        <v> </v>
      </c>
      <c r="F408" t="str" xml:space="preserve">
        <v> </v>
      </c>
      <c r="G408" t="str">
        <v>AUN2F5169 A</v>
      </c>
      <c r="H408">
        <v>20260104</v>
      </c>
      <c r="I408" t="str">
        <v>南美区</v>
      </c>
      <c r="J408" t="str">
        <v>南美一区</v>
      </c>
      <c r="K408" s="126">
        <v>32943.85</v>
      </c>
      <c r="L408" t="str">
        <v>USD</v>
      </c>
      <c r="N408" t="str">
        <v>待确认</v>
      </c>
      <c r="P408">
        <f>G408</f>
      </c>
      <c r="Q408" s="125"/>
      <c r="T408">
        <f>B408</f>
      </c>
      <c r="Y408" s="123"/>
      <c r="Z408" s="123"/>
      <c r="AA408" s="123"/>
      <c r="AB408" s="123"/>
      <c r="AC408" s="125"/>
      <c r="AO408">
        <f>K408</f>
      </c>
      <c r="AQ408" s="123">
        <f>AO408/(1+AP408)</f>
      </c>
      <c r="AR408">
        <f>L408</f>
      </c>
    </row>
    <row r="409">
      <c r="A409" t="str">
        <v>国际</v>
      </c>
      <c r="B409" t="str">
        <v>VA</v>
      </c>
      <c r="C409" t="str" xml:space="preserve">
        <v> </v>
      </c>
      <c r="D409" t="str">
        <v>新显示</v>
      </c>
      <c r="E409" t="str" xml:space="preserve">
        <v> </v>
      </c>
      <c r="F409" t="str" xml:space="preserve">
        <v> </v>
      </c>
      <c r="G409" t="str">
        <v>AUN2F5169 B</v>
      </c>
      <c r="H409">
        <v>20260104</v>
      </c>
      <c r="I409" t="str">
        <v>南美区</v>
      </c>
      <c r="J409" t="str">
        <v>南美一区</v>
      </c>
      <c r="K409" s="126">
        <v>39848.65</v>
      </c>
      <c r="L409" t="str">
        <v>USD</v>
      </c>
      <c r="N409" t="str">
        <v>待确认</v>
      </c>
      <c r="P409">
        <f>G409</f>
      </c>
      <c r="Q409" s="125"/>
      <c r="T409">
        <f>B409</f>
      </c>
      <c r="Y409" s="123"/>
      <c r="Z409" s="123"/>
      <c r="AA409" s="123"/>
      <c r="AB409" s="123"/>
      <c r="AC409" s="125"/>
      <c r="AO409">
        <f>K409</f>
      </c>
      <c r="AQ409" s="123">
        <f>AO409/(1+AP409)</f>
      </c>
      <c r="AR409">
        <f>L409</f>
      </c>
    </row>
    <row r="410">
      <c r="A410" t="str">
        <v>国际</v>
      </c>
      <c r="B410" t="str">
        <v>VA</v>
      </c>
      <c r="C410" t="str" xml:space="preserve">
        <v> </v>
      </c>
      <c r="D410" t="str">
        <v>洲明分销</v>
      </c>
      <c r="E410" t="str" xml:space="preserve">
        <v> </v>
      </c>
      <c r="F410" t="str" xml:space="preserve">
        <v> </v>
      </c>
      <c r="G410" t="str">
        <v>AUI2F5431</v>
      </c>
      <c r="H410">
        <v>20260104</v>
      </c>
      <c r="I410" t="str">
        <v>南美区</v>
      </c>
      <c r="J410" t="str">
        <v>南美一区</v>
      </c>
      <c r="K410" s="126">
        <v>149209.12</v>
      </c>
      <c r="L410" t="str">
        <v>USD</v>
      </c>
      <c r="N410" t="str">
        <v>待确认</v>
      </c>
      <c r="P410">
        <f>G410</f>
      </c>
      <c r="Q410" s="125"/>
      <c r="T410">
        <f>B410</f>
      </c>
      <c r="Y410" s="123"/>
      <c r="Z410" s="123"/>
      <c r="AA410" s="123"/>
      <c r="AB410" s="123"/>
      <c r="AC410" s="125"/>
      <c r="AO410">
        <f>K410</f>
      </c>
      <c r="AQ410" s="123">
        <f>AO410/(1+AP410)</f>
      </c>
      <c r="AR410">
        <f>L410</f>
      </c>
    </row>
    <row r="411">
      <c r="A411" t="str">
        <v>国际</v>
      </c>
      <c r="B411" t="str">
        <v>VA</v>
      </c>
      <c r="C411" t="str" xml:space="preserve">
        <v> </v>
      </c>
      <c r="D411" t="str">
        <v>洲明分销</v>
      </c>
      <c r="E411" t="str" xml:space="preserve">
        <v> </v>
      </c>
      <c r="F411" t="str" xml:space="preserve">
        <v> </v>
      </c>
      <c r="G411" t="str">
        <v>AUN2F5169 C</v>
      </c>
      <c r="H411">
        <v>20260104</v>
      </c>
      <c r="I411" t="str">
        <v>南美区</v>
      </c>
      <c r="J411" t="str">
        <v>南美一区</v>
      </c>
      <c r="K411" s="126">
        <v>5666.88</v>
      </c>
      <c r="L411" t="str">
        <v>USD</v>
      </c>
      <c r="N411" t="str">
        <v>待确认</v>
      </c>
      <c r="P411">
        <f>G411</f>
      </c>
      <c r="Q411" s="125"/>
      <c r="T411">
        <f>B411</f>
      </c>
      <c r="Y411" s="123"/>
      <c r="Z411" s="123"/>
      <c r="AA411" s="123"/>
      <c r="AB411" s="123"/>
      <c r="AC411" s="125"/>
      <c r="AO411">
        <f>K411</f>
      </c>
      <c r="AQ411" s="123">
        <f>AO411/(1+AP411)</f>
      </c>
      <c r="AR411">
        <f>L411</f>
      </c>
    </row>
    <row r="412">
      <c r="A412" t="str">
        <v>国际</v>
      </c>
      <c r="B412" t="str">
        <v>VA</v>
      </c>
      <c r="C412" t="str" xml:space="preserve">
        <v> </v>
      </c>
      <c r="D412" t="str">
        <v>洲明租赁</v>
      </c>
      <c r="E412" t="str" xml:space="preserve">
        <v> </v>
      </c>
      <c r="F412" t="str" xml:space="preserve">
        <v> </v>
      </c>
      <c r="G412" t="str">
        <v>AUR2F4810-A</v>
      </c>
      <c r="H412">
        <v>20260104</v>
      </c>
      <c r="I412" t="str">
        <v>中东非区</v>
      </c>
      <c r="J412" t="str">
        <v>海湾二区</v>
      </c>
      <c r="K412" s="124">
        <v>738000</v>
      </c>
      <c r="L412" t="str">
        <v>USD</v>
      </c>
      <c r="N412" t="str">
        <v>待确认</v>
      </c>
      <c r="P412">
        <f>G412</f>
      </c>
      <c r="Q412" s="125"/>
      <c r="T412">
        <f>B412</f>
      </c>
      <c r="Y412" s="123"/>
      <c r="Z412" s="123"/>
      <c r="AA412" s="123"/>
      <c r="AB412" s="123"/>
      <c r="AC412" s="125"/>
      <c r="AO412">
        <f>K412</f>
      </c>
      <c r="AQ412" s="123">
        <f>AO412/(1+AP412)</f>
      </c>
      <c r="AR412">
        <f>L412</f>
      </c>
    </row>
    <row r="413">
      <c r="A413" t="str">
        <v>国际</v>
      </c>
      <c r="B413" t="str">
        <v>VA</v>
      </c>
      <c r="C413" t="str" xml:space="preserve">
        <v> </v>
      </c>
      <c r="D413" t="str">
        <v>洲明租赁</v>
      </c>
      <c r="E413" t="str" xml:space="preserve">
        <v> </v>
      </c>
      <c r="F413" t="str" xml:space="preserve">
        <v> </v>
      </c>
      <c r="G413" t="str">
        <v>AUR2F4810-B</v>
      </c>
      <c r="H413">
        <v>20260104</v>
      </c>
      <c r="I413" t="str">
        <v>中东非区</v>
      </c>
      <c r="J413" t="str">
        <v>海湾二区</v>
      </c>
      <c r="K413" s="124">
        <v>357500</v>
      </c>
      <c r="L413" t="str">
        <v>USD</v>
      </c>
      <c r="N413" t="str">
        <v>待确认</v>
      </c>
      <c r="P413">
        <f>G413</f>
      </c>
      <c r="Q413" s="125"/>
      <c r="T413">
        <f>B413</f>
      </c>
      <c r="Y413" s="123"/>
      <c r="Z413" s="123"/>
      <c r="AA413" s="123"/>
      <c r="AB413" s="123"/>
      <c r="AC413" s="125"/>
      <c r="AO413">
        <f>K413</f>
      </c>
      <c r="AQ413" s="123">
        <f>AO413/(1+AP413)</f>
      </c>
      <c r="AR413">
        <f>L413</f>
      </c>
    </row>
    <row r="414">
      <c r="A414" t="str">
        <v>国际</v>
      </c>
      <c r="B414" t="str">
        <v>VA</v>
      </c>
      <c r="C414" t="str" xml:space="preserve">
        <v> </v>
      </c>
      <c r="D414" t="str">
        <v>洲明租赁</v>
      </c>
      <c r="E414" t="str" xml:space="preserve">
        <v> </v>
      </c>
      <c r="F414" t="str" xml:space="preserve">
        <v> </v>
      </c>
      <c r="G414" t="str">
        <v>AUR2F4810-C</v>
      </c>
      <c r="H414">
        <v>20260104</v>
      </c>
      <c r="I414" t="str">
        <v>中东非区</v>
      </c>
      <c r="J414" t="str">
        <v>海湾二区</v>
      </c>
      <c r="K414" s="124">
        <v>199500</v>
      </c>
      <c r="L414" t="str">
        <v>USD</v>
      </c>
      <c r="N414" t="str">
        <v>待确认</v>
      </c>
      <c r="P414">
        <f>G414</f>
      </c>
      <c r="Q414" s="125"/>
      <c r="T414">
        <f>B414</f>
      </c>
      <c r="Y414" s="123"/>
      <c r="Z414" s="123"/>
      <c r="AA414" s="123"/>
      <c r="AB414" s="123"/>
      <c r="AC414" s="125"/>
      <c r="AO414">
        <f>K414</f>
      </c>
      <c r="AQ414" s="123">
        <f>AO414/(1+AP414)</f>
      </c>
      <c r="AR414">
        <f>L414</f>
      </c>
    </row>
    <row r="415">
      <c r="A415" t="str">
        <v>国际</v>
      </c>
      <c r="B415" t="str">
        <v>VA</v>
      </c>
      <c r="C415" t="str" xml:space="preserve">
        <v> </v>
      </c>
      <c r="D415" t="str">
        <v>新显示</v>
      </c>
      <c r="E415" t="str" xml:space="preserve">
        <v> </v>
      </c>
      <c r="F415" t="str" xml:space="preserve">
        <v> </v>
      </c>
      <c r="G415" t="str">
        <v>AUN2F5169 B</v>
      </c>
      <c r="H415">
        <v>20251231</v>
      </c>
      <c r="I415" t="str">
        <v>南美区</v>
      </c>
      <c r="J415" t="str">
        <v>南美一区</v>
      </c>
      <c r="K415" s="126">
        <v>-39848.65</v>
      </c>
      <c r="L415" t="str">
        <v>USD</v>
      </c>
      <c r="N415" t="str">
        <v>待确认</v>
      </c>
      <c r="P415">
        <f>G415</f>
      </c>
      <c r="Q415" s="125"/>
      <c r="T415">
        <f>B415</f>
      </c>
      <c r="Y415" s="123"/>
      <c r="Z415" s="123"/>
      <c r="AA415" s="123"/>
      <c r="AB415" s="123"/>
      <c r="AC415" s="125"/>
      <c r="AO415">
        <f>K415</f>
      </c>
      <c r="AQ415" s="123">
        <f>AO415/(1+AP415)</f>
      </c>
      <c r="AR415">
        <f>L415</f>
      </c>
    </row>
    <row r="416">
      <c r="A416" t="str">
        <v>国际</v>
      </c>
      <c r="B416" t="str">
        <v>VA</v>
      </c>
      <c r="C416" t="str" xml:space="preserve">
        <v> </v>
      </c>
      <c r="D416" t="str">
        <v>新显示</v>
      </c>
      <c r="E416" t="str" xml:space="preserve">
        <v> </v>
      </c>
      <c r="F416" t="str" xml:space="preserve">
        <v> </v>
      </c>
      <c r="G416" t="str">
        <v>AUN2F5169 A</v>
      </c>
      <c r="H416">
        <v>20251231</v>
      </c>
      <c r="I416" t="str">
        <v>南美区</v>
      </c>
      <c r="J416" t="str">
        <v>南美一区</v>
      </c>
      <c r="K416" s="126">
        <v>-32943.85</v>
      </c>
      <c r="L416" t="str">
        <v>USD</v>
      </c>
      <c r="N416" t="str">
        <v>待确认</v>
      </c>
      <c r="P416">
        <f>G416</f>
      </c>
      <c r="Q416" s="125"/>
      <c r="T416">
        <f>B416</f>
      </c>
      <c r="Y416" s="123"/>
      <c r="Z416" s="123"/>
      <c r="AA416" s="123"/>
      <c r="AB416" s="123"/>
      <c r="AC416" s="125"/>
      <c r="AO416">
        <f>K416</f>
      </c>
      <c r="AQ416" s="123">
        <f>AO416/(1+AP416)</f>
      </c>
      <c r="AR416">
        <f>L416</f>
      </c>
    </row>
    <row r="417">
      <c r="A417" t="str">
        <v>国际</v>
      </c>
      <c r="B417" t="str">
        <v>VA</v>
      </c>
      <c r="C417" t="str" xml:space="preserve">
        <v> </v>
      </c>
      <c r="D417" t="str">
        <v>洲明分销</v>
      </c>
      <c r="E417" t="str" xml:space="preserve">
        <v> </v>
      </c>
      <c r="F417" t="str" xml:space="preserve">
        <v> </v>
      </c>
      <c r="G417" t="str">
        <v>AUN2F5169 C</v>
      </c>
      <c r="H417">
        <v>20251231</v>
      </c>
      <c r="I417" t="str">
        <v>南美区</v>
      </c>
      <c r="J417" t="str">
        <v>南美一区</v>
      </c>
      <c r="K417" s="126">
        <v>-5666.88</v>
      </c>
      <c r="L417" t="str">
        <v>USD</v>
      </c>
      <c r="N417" t="str">
        <v>待确认</v>
      </c>
      <c r="P417">
        <f>G417</f>
      </c>
      <c r="Q417" s="125"/>
      <c r="T417">
        <f>B417</f>
      </c>
      <c r="Y417" s="123"/>
      <c r="Z417" s="123"/>
      <c r="AA417" s="123"/>
      <c r="AB417" s="123"/>
      <c r="AC417" s="125"/>
      <c r="AO417">
        <f>K417</f>
      </c>
      <c r="AQ417" s="123">
        <f>AO417/(1+AP417)</f>
      </c>
      <c r="AR417">
        <f>L417</f>
      </c>
    </row>
    <row r="418">
      <c r="A418" t="str">
        <v>国际</v>
      </c>
      <c r="B418" t="str">
        <v>VA</v>
      </c>
      <c r="C418" t="str" xml:space="preserve">
        <v> </v>
      </c>
      <c r="D418" t="str">
        <v>洲明分销</v>
      </c>
      <c r="E418" t="str" xml:space="preserve">
        <v> </v>
      </c>
      <c r="F418" t="str" xml:space="preserve">
        <v> </v>
      </c>
      <c r="G418" t="str">
        <v>AUI2F5431</v>
      </c>
      <c r="H418">
        <v>20251230</v>
      </c>
      <c r="I418" t="str">
        <v>南美区</v>
      </c>
      <c r="J418" t="str">
        <v>南美一区</v>
      </c>
      <c r="K418" s="126">
        <v>-149209.12</v>
      </c>
      <c r="L418" t="str">
        <v>USD</v>
      </c>
      <c r="N418" t="str">
        <v>待确认</v>
      </c>
      <c r="P418">
        <f>G418</f>
      </c>
      <c r="Q418" s="125"/>
      <c r="T418">
        <f>B418</f>
      </c>
      <c r="Y418" s="123"/>
      <c r="Z418" s="123"/>
      <c r="AA418" s="123"/>
      <c r="AB418" s="123"/>
      <c r="AC418" s="125"/>
      <c r="AO418">
        <f>K418</f>
      </c>
      <c r="AQ418" s="123">
        <f>AO418/(1+AP418)</f>
      </c>
      <c r="AR418">
        <f>L418</f>
      </c>
    </row>
    <row r="419">
      <c r="A419" t="str">
        <v>国际</v>
      </c>
      <c r="B419" t="str">
        <v>VA</v>
      </c>
      <c r="C419" t="str" xml:space="preserve">
        <v> </v>
      </c>
      <c r="D419" t="str">
        <v>蓝普分销</v>
      </c>
      <c r="E419" t="str" xml:space="preserve">
        <v> </v>
      </c>
      <c r="F419" t="str" xml:space="preserve">
        <v> </v>
      </c>
      <c r="G419" t="str">
        <v>APP2F5310C</v>
      </c>
      <c r="H419">
        <v>20251229</v>
      </c>
      <c r="I419" t="str">
        <v>中东非区</v>
      </c>
      <c r="J419" t="str">
        <v>非洲区</v>
      </c>
      <c r="K419" s="126">
        <v>-21977.5</v>
      </c>
      <c r="L419" t="str">
        <v>USD</v>
      </c>
      <c r="N419" t="str">
        <v>待确认</v>
      </c>
      <c r="P419">
        <f>G419</f>
      </c>
      <c r="Q419" s="125"/>
      <c r="T419">
        <f>B419</f>
      </c>
      <c r="Y419" s="123"/>
      <c r="Z419" s="123"/>
      <c r="AA419" s="123"/>
      <c r="AB419" s="123"/>
      <c r="AC419" s="125"/>
      <c r="AO419">
        <f>K419</f>
      </c>
      <c r="AQ419" s="123">
        <f>AO419/(1+AP419)</f>
      </c>
      <c r="AR419">
        <f>L419</f>
      </c>
    </row>
    <row r="420">
      <c r="A420" t="str">
        <v>国际</v>
      </c>
      <c r="B420" t="str">
        <v>VA</v>
      </c>
      <c r="C420" t="str" xml:space="preserve">
        <v> </v>
      </c>
      <c r="D420" t="str">
        <v>蓝普分销</v>
      </c>
      <c r="E420" t="str" xml:space="preserve">
        <v> </v>
      </c>
      <c r="F420" t="str" xml:space="preserve">
        <v> </v>
      </c>
      <c r="G420" t="str">
        <v>APP2F5310A</v>
      </c>
      <c r="H420">
        <v>20251229</v>
      </c>
      <c r="I420" t="str">
        <v>中东非区</v>
      </c>
      <c r="J420" t="str">
        <v>非洲区</v>
      </c>
      <c r="K420" s="124">
        <v>-218000</v>
      </c>
      <c r="L420" t="str">
        <v>USD</v>
      </c>
      <c r="N420" t="str">
        <v>待确认</v>
      </c>
      <c r="P420">
        <f>G420</f>
      </c>
      <c r="Q420" s="125"/>
      <c r="T420">
        <f>B420</f>
      </c>
      <c r="Y420" s="123"/>
      <c r="Z420" s="123"/>
      <c r="AA420" s="123"/>
      <c r="AB420" s="123"/>
      <c r="AC420" s="125"/>
      <c r="AO420">
        <f>K420</f>
      </c>
      <c r="AQ420" s="123">
        <f>AO420/(1+AP420)</f>
      </c>
      <c r="AR420">
        <f>L420</f>
      </c>
    </row>
    <row r="421">
      <c r="A421" t="str">
        <v>国际</v>
      </c>
      <c r="B421" t="str">
        <v>VA</v>
      </c>
      <c r="C421" t="str" xml:space="preserve">
        <v> </v>
      </c>
      <c r="D421" t="str">
        <v>蓝普分销</v>
      </c>
      <c r="E421" t="str" xml:space="preserve">
        <v> </v>
      </c>
      <c r="F421" t="str" xml:space="preserve">
        <v> </v>
      </c>
      <c r="G421" t="str">
        <v>APP2F5310E</v>
      </c>
      <c r="H421">
        <v>20251229</v>
      </c>
      <c r="I421" t="str">
        <v>中东非区</v>
      </c>
      <c r="J421" t="str">
        <v>非洲区</v>
      </c>
      <c r="K421" s="126">
        <v>-30562.5</v>
      </c>
      <c r="L421" t="str">
        <v>USD</v>
      </c>
      <c r="N421" t="str">
        <v>待确认</v>
      </c>
      <c r="P421">
        <f>G421</f>
      </c>
      <c r="Q421" s="125"/>
      <c r="T421">
        <f>B421</f>
      </c>
      <c r="Y421" s="123"/>
      <c r="Z421" s="123"/>
      <c r="AA421" s="123"/>
      <c r="AB421" s="123"/>
      <c r="AC421" s="125"/>
      <c r="AO421">
        <f>K421</f>
      </c>
      <c r="AQ421" s="123">
        <f>AO421/(1+AP421)</f>
      </c>
      <c r="AR421">
        <f>L421</f>
      </c>
    </row>
    <row r="422">
      <c r="A422" t="str">
        <v>国际</v>
      </c>
      <c r="B422" t="str">
        <v>VA</v>
      </c>
      <c r="C422" t="str" xml:space="preserve">
        <v> </v>
      </c>
      <c r="D422" t="str">
        <v>蓝普分销</v>
      </c>
      <c r="E422" t="str" xml:space="preserve">
        <v> </v>
      </c>
      <c r="F422" t="str" xml:space="preserve">
        <v> </v>
      </c>
      <c r="G422" t="str">
        <v>APP2F5310G</v>
      </c>
      <c r="H422">
        <v>20251229</v>
      </c>
      <c r="I422" t="str">
        <v>中东非区</v>
      </c>
      <c r="J422" t="str">
        <v>非洲区</v>
      </c>
      <c r="K422" s="126">
        <v>-76965.29</v>
      </c>
      <c r="L422" t="str">
        <v>USD</v>
      </c>
      <c r="N422" t="str">
        <v>待确认</v>
      </c>
      <c r="P422">
        <f>G422</f>
      </c>
      <c r="Q422" s="125"/>
      <c r="T422">
        <f>B422</f>
      </c>
      <c r="Y422" s="123"/>
      <c r="Z422" s="123"/>
      <c r="AA422" s="123"/>
      <c r="AB422" s="123"/>
      <c r="AC422" s="125"/>
      <c r="AO422">
        <f>K422</f>
      </c>
      <c r="AQ422" s="123">
        <f>AO422/(1+AP422)</f>
      </c>
      <c r="AR422">
        <f>L422</f>
      </c>
    </row>
    <row r="423">
      <c r="A423" t="str">
        <v>国际</v>
      </c>
      <c r="B423" t="str">
        <v>VA</v>
      </c>
      <c r="C423" t="str" xml:space="preserve">
        <v> </v>
      </c>
      <c r="D423" t="str">
        <v>蓝普分销</v>
      </c>
      <c r="E423" t="str" xml:space="preserve">
        <v> </v>
      </c>
      <c r="F423" t="str" xml:space="preserve">
        <v> </v>
      </c>
      <c r="G423" t="str">
        <v>APP2F5310D</v>
      </c>
      <c r="H423">
        <v>20251229</v>
      </c>
      <c r="I423" t="str">
        <v>中东非区</v>
      </c>
      <c r="J423" t="str">
        <v>非洲区</v>
      </c>
      <c r="K423" s="126">
        <v>-24724.14</v>
      </c>
      <c r="L423" t="str">
        <v>USD</v>
      </c>
      <c r="N423" t="str">
        <v>待确认</v>
      </c>
      <c r="P423">
        <f>G423</f>
      </c>
      <c r="Q423" s="125"/>
      <c r="T423">
        <f>B423</f>
      </c>
      <c r="Y423" s="123"/>
      <c r="Z423" s="123"/>
      <c r="AA423" s="123"/>
      <c r="AB423" s="123"/>
      <c r="AC423" s="125"/>
      <c r="AO423">
        <f>K423</f>
      </c>
      <c r="AQ423" s="123">
        <f>AO423/(1+AP423)</f>
      </c>
      <c r="AR423">
        <f>L423</f>
      </c>
    </row>
    <row r="424">
      <c r="A424" t="str">
        <v>国际</v>
      </c>
      <c r="B424" t="str">
        <v>VA</v>
      </c>
      <c r="C424" t="str" xml:space="preserve">
        <v> </v>
      </c>
      <c r="D424" t="str">
        <v>蓝普分销</v>
      </c>
      <c r="E424" t="str" xml:space="preserve">
        <v> </v>
      </c>
      <c r="F424" t="str" xml:space="preserve">
        <v> </v>
      </c>
      <c r="G424" t="str">
        <v>APP2F5310B</v>
      </c>
      <c r="H424">
        <v>20251229</v>
      </c>
      <c r="I424" t="str">
        <v>中东非区</v>
      </c>
      <c r="J424" t="str">
        <v>非洲区</v>
      </c>
      <c r="K424" s="124">
        <v>-14800</v>
      </c>
      <c r="L424" t="str">
        <v>USD</v>
      </c>
      <c r="N424" t="str">
        <v>待确认</v>
      </c>
      <c r="P424">
        <f>G424</f>
      </c>
      <c r="Q424" s="125"/>
      <c r="T424">
        <f>B424</f>
      </c>
      <c r="Y424" s="123"/>
      <c r="Z424" s="123"/>
      <c r="AA424" s="123"/>
      <c r="AB424" s="123"/>
      <c r="AC424" s="125"/>
      <c r="AO424">
        <f>K424</f>
      </c>
      <c r="AQ424" s="123">
        <f>AO424/(1+AP424)</f>
      </c>
      <c r="AR424">
        <f>L424</f>
      </c>
    </row>
    <row r="425">
      <c r="A425" t="str">
        <v>国际</v>
      </c>
      <c r="B425" t="str">
        <v>VA</v>
      </c>
      <c r="C425" t="str" xml:space="preserve">
        <v> </v>
      </c>
      <c r="D425" t="str">
        <v>蓝普工程</v>
      </c>
      <c r="E425" t="str" xml:space="preserve">
        <v> </v>
      </c>
      <c r="F425" t="str" xml:space="preserve">
        <v> </v>
      </c>
      <c r="G425" t="str">
        <v>APP2F5310F</v>
      </c>
      <c r="H425">
        <v>20251229</v>
      </c>
      <c r="I425" t="str">
        <v>中东非区</v>
      </c>
      <c r="J425" t="str">
        <v>非洲区</v>
      </c>
      <c r="K425" s="126">
        <v>-8250.62</v>
      </c>
      <c r="L425" t="str">
        <v>USD</v>
      </c>
      <c r="N425" t="str">
        <v>待确认</v>
      </c>
      <c r="P425">
        <f>G425</f>
      </c>
      <c r="Q425" s="125"/>
      <c r="T425">
        <f>B425</f>
      </c>
      <c r="Y425" s="123"/>
      <c r="Z425" s="123"/>
      <c r="AA425" s="123"/>
      <c r="AB425" s="123"/>
      <c r="AC425" s="125"/>
      <c r="AO425">
        <f>K425</f>
      </c>
      <c r="AQ425" s="123">
        <f>AO425/(1+AP425)</f>
      </c>
      <c r="AR425">
        <f>L425</f>
      </c>
    </row>
    <row r="426">
      <c r="A426" t="str">
        <v>国际</v>
      </c>
      <c r="B426" t="str">
        <v>VA</v>
      </c>
      <c r="C426" t="str" xml:space="preserve">
        <v> </v>
      </c>
      <c r="D426" t="str">
        <v>固装</v>
      </c>
      <c r="E426" t="str" xml:space="preserve">
        <v> </v>
      </c>
      <c r="F426" t="str" xml:space="preserve">
        <v> </v>
      </c>
      <c r="G426" t="str">
        <v>AUO2F4487-1</v>
      </c>
      <c r="H426">
        <v>20251225</v>
      </c>
      <c r="I426" t="str">
        <v>中东非区</v>
      </c>
      <c r="J426" t="str">
        <v>海湾二区</v>
      </c>
      <c r="K426" s="124">
        <v>-730000</v>
      </c>
      <c r="L426" t="str">
        <v>USD</v>
      </c>
      <c r="N426" t="str">
        <v>待确认</v>
      </c>
      <c r="P426">
        <f>G426</f>
      </c>
      <c r="Q426" s="125"/>
      <c r="T426">
        <f>B426</f>
      </c>
      <c r="Y426" s="123"/>
      <c r="Z426" s="123"/>
      <c r="AA426" s="123"/>
      <c r="AB426" s="123"/>
      <c r="AC426" s="125"/>
      <c r="AO426">
        <f>K426</f>
      </c>
      <c r="AQ426" s="123">
        <f>AO426/(1+AP426)</f>
      </c>
      <c r="AR426">
        <f>L426</f>
      </c>
    </row>
    <row r="427">
      <c r="A427" t="str">
        <v>国际</v>
      </c>
      <c r="B427" t="str">
        <v>VA</v>
      </c>
      <c r="C427" t="str" xml:space="preserve">
        <v> </v>
      </c>
      <c r="D427" t="str">
        <v>固装</v>
      </c>
      <c r="E427" t="str" xml:space="preserve">
        <v> </v>
      </c>
      <c r="F427" t="str" xml:space="preserve">
        <v> </v>
      </c>
      <c r="G427" t="str">
        <v>AUO2F4487</v>
      </c>
      <c r="H427">
        <v>20251225</v>
      </c>
      <c r="I427" t="str">
        <v>中东非区</v>
      </c>
      <c r="J427" t="str">
        <v>海湾二区</v>
      </c>
      <c r="K427" s="124">
        <v>-1460000</v>
      </c>
      <c r="L427" t="str">
        <v>USD</v>
      </c>
      <c r="N427" t="str">
        <v>待确认</v>
      </c>
      <c r="P427">
        <f>G427</f>
      </c>
      <c r="Q427" s="125"/>
      <c r="T427">
        <f>B427</f>
      </c>
      <c r="Y427" s="123"/>
      <c r="Z427" s="123"/>
      <c r="AA427" s="123"/>
      <c r="AB427" s="123"/>
      <c r="AC427" s="125"/>
      <c r="AO427">
        <f>K427</f>
      </c>
      <c r="AQ427" s="123">
        <f>AO427/(1+AP427)</f>
      </c>
      <c r="AR427">
        <f>L427</f>
      </c>
    </row>
    <row r="428">
      <c r="A428" t="str">
        <v>国际</v>
      </c>
      <c r="B428" t="str">
        <v>VA</v>
      </c>
      <c r="C428" t="str" xml:space="preserve">
        <v> </v>
      </c>
      <c r="D428" t="str">
        <v>固装</v>
      </c>
      <c r="E428" t="str" xml:space="preserve">
        <v> </v>
      </c>
      <c r="F428" t="str" xml:space="preserve">
        <v> </v>
      </c>
      <c r="G428" t="str">
        <v>AUO2F5198A</v>
      </c>
      <c r="H428">
        <v>20251223</v>
      </c>
      <c r="I428" t="str">
        <v>东南欧区</v>
      </c>
      <c r="J428" t="str">
        <v>东欧群</v>
      </c>
      <c r="K428" s="126">
        <v>-1146558.11</v>
      </c>
      <c r="L428" t="str">
        <v>USD</v>
      </c>
      <c r="N428" t="str">
        <v>待确认</v>
      </c>
      <c r="P428">
        <f>G428</f>
      </c>
      <c r="Q428" s="125"/>
      <c r="T428">
        <f>B428</f>
      </c>
      <c r="Y428" s="123"/>
      <c r="Z428" s="123"/>
      <c r="AA428" s="123"/>
      <c r="AB428" s="123"/>
      <c r="AC428" s="125"/>
      <c r="AO428">
        <f>K428</f>
      </c>
      <c r="AQ428" s="123">
        <f>AO428/(1+AP428)</f>
      </c>
      <c r="AR428">
        <f>L428</f>
      </c>
    </row>
    <row r="429">
      <c r="A429" t="str">
        <v>国际</v>
      </c>
      <c r="B429" t="str">
        <v>VA</v>
      </c>
      <c r="C429" t="str" xml:space="preserve">
        <v> </v>
      </c>
      <c r="D429" t="str">
        <v>洲明租赁</v>
      </c>
      <c r="E429" t="str" xml:space="preserve">
        <v> </v>
      </c>
      <c r="F429" t="str" xml:space="preserve">
        <v> </v>
      </c>
      <c r="G429" t="str">
        <v>AUR2F4810-B</v>
      </c>
      <c r="H429">
        <v>20251215</v>
      </c>
      <c r="I429" t="str">
        <v>中东非区</v>
      </c>
      <c r="J429" t="str">
        <v>海湾二区</v>
      </c>
      <c r="K429" s="124">
        <v>-357500</v>
      </c>
      <c r="L429" t="str">
        <v>USD</v>
      </c>
      <c r="N429" t="str">
        <v>待确认</v>
      </c>
      <c r="P429">
        <f>G429</f>
      </c>
      <c r="Q429" s="125"/>
      <c r="T429">
        <f>B429</f>
      </c>
      <c r="Y429" s="123"/>
      <c r="Z429" s="123"/>
      <c r="AA429" s="123"/>
      <c r="AB429" s="123"/>
      <c r="AC429" s="125"/>
      <c r="AO429">
        <f>K429</f>
      </c>
      <c r="AQ429" s="123">
        <f>AO429/(1+AP429)</f>
      </c>
      <c r="AR429">
        <f>L429</f>
      </c>
    </row>
    <row r="430">
      <c r="A430" t="str">
        <v>国际</v>
      </c>
      <c r="B430" t="str">
        <v>VA</v>
      </c>
      <c r="C430" t="str" xml:space="preserve">
        <v> </v>
      </c>
      <c r="D430" t="str">
        <v>洲明租赁</v>
      </c>
      <c r="E430" t="str" xml:space="preserve">
        <v> </v>
      </c>
      <c r="F430" t="str" xml:space="preserve">
        <v> </v>
      </c>
      <c r="G430" t="str">
        <v>AUR2F4810-A</v>
      </c>
      <c r="H430">
        <v>20251215</v>
      </c>
      <c r="I430" t="str">
        <v>中东非区</v>
      </c>
      <c r="J430" t="str">
        <v>海湾二区</v>
      </c>
      <c r="K430" s="124">
        <v>-738000</v>
      </c>
      <c r="L430" t="str">
        <v>USD</v>
      </c>
      <c r="N430" t="str">
        <v>待确认</v>
      </c>
      <c r="P430">
        <f>G430</f>
      </c>
      <c r="Q430" s="125"/>
      <c r="T430">
        <f>B430</f>
      </c>
      <c r="Y430" s="123"/>
      <c r="Z430" s="123"/>
      <c r="AA430" s="123"/>
      <c r="AB430" s="123"/>
      <c r="AC430" s="125"/>
      <c r="AO430">
        <f>K430</f>
      </c>
      <c r="AQ430" s="123">
        <f>AO430/(1+AP430)</f>
      </c>
      <c r="AR430">
        <f>L430</f>
      </c>
    </row>
    <row r="431">
      <c r="A431" t="str">
        <v>国际</v>
      </c>
      <c r="B431" t="str">
        <v>VA</v>
      </c>
      <c r="C431" t="str" xml:space="preserve">
        <v> </v>
      </c>
      <c r="D431" t="str">
        <v>洲明租赁</v>
      </c>
      <c r="E431" t="str" xml:space="preserve">
        <v> </v>
      </c>
      <c r="F431" t="str" xml:space="preserve">
        <v> </v>
      </c>
      <c r="G431" t="str">
        <v>AUR2F4810-C</v>
      </c>
      <c r="H431">
        <v>20251215</v>
      </c>
      <c r="I431" t="str">
        <v>中东非区</v>
      </c>
      <c r="J431" t="str">
        <v>海湾二区</v>
      </c>
      <c r="K431" s="124">
        <v>-199500</v>
      </c>
      <c r="L431" t="str">
        <v>USD</v>
      </c>
      <c r="N431" t="str">
        <v>待确认</v>
      </c>
      <c r="P431">
        <f>G431</f>
      </c>
      <c r="Q431" s="125"/>
      <c r="T431">
        <f>B431</f>
      </c>
      <c r="Y431" s="123"/>
      <c r="Z431" s="123"/>
      <c r="AA431" s="123"/>
      <c r="AB431" s="123"/>
      <c r="AC431" s="125"/>
      <c r="AO431">
        <f>K431</f>
      </c>
      <c r="AQ431" s="123">
        <f>AO431/(1+AP431)</f>
      </c>
      <c r="AR431">
        <f>L431</f>
      </c>
    </row>
    <row r="432">
      <c r="A432" t="str">
        <v>国际</v>
      </c>
      <c r="B432" t="str">
        <v>VA</v>
      </c>
      <c r="C432" t="str" xml:space="preserve">
        <v> </v>
      </c>
      <c r="D432" t="str">
        <v>UTV</v>
      </c>
      <c r="E432" t="str">
        <v>俄</v>
      </c>
      <c r="F432" t="str">
        <v>蒋</v>
      </c>
      <c r="G432" t="str">
        <v>AUN2F4825-B</v>
      </c>
      <c r="H432">
        <v>20251211</v>
      </c>
      <c r="I432" t="str">
        <v>俄语区</v>
      </c>
      <c r="J432" t="str">
        <v>欧亚集群一区</v>
      </c>
      <c r="K432" s="126">
        <v>29411.38</v>
      </c>
      <c r="L432" t="str">
        <v>USD</v>
      </c>
      <c r="N432" t="str">
        <v>待确认</v>
      </c>
      <c r="P432">
        <f>G432</f>
      </c>
      <c r="Q432" s="125"/>
      <c r="T432">
        <f>B432</f>
      </c>
      <c r="Y432" s="123"/>
      <c r="Z432" s="123"/>
      <c r="AA432" s="123"/>
      <c r="AB432" s="123"/>
      <c r="AC432" s="125"/>
      <c r="AO432">
        <f>K432</f>
      </c>
      <c r="AQ432" s="123">
        <f>AO432/(1+AP432)</f>
      </c>
      <c r="AR432">
        <f>L432</f>
      </c>
    </row>
    <row r="433">
      <c r="A433" t="str">
        <v>国际</v>
      </c>
      <c r="B433" t="str">
        <v>VA</v>
      </c>
      <c r="C433" t="str" xml:space="preserve">
        <v> </v>
      </c>
      <c r="D433" t="str">
        <v>UTV</v>
      </c>
      <c r="E433" t="str">
        <v>俄</v>
      </c>
      <c r="F433" t="str">
        <v>蒋</v>
      </c>
      <c r="G433" t="str">
        <v>AUN2F4825-A</v>
      </c>
      <c r="H433">
        <v>20251211</v>
      </c>
      <c r="I433" t="str">
        <v>俄语区</v>
      </c>
      <c r="J433" t="str">
        <v>欧亚集群一区</v>
      </c>
      <c r="K433" s="126">
        <v>30428.72</v>
      </c>
      <c r="L433" t="str">
        <v>USD</v>
      </c>
      <c r="N433" t="str">
        <v>待确认</v>
      </c>
      <c r="P433">
        <f>G433</f>
      </c>
      <c r="Q433" s="125"/>
      <c r="T433">
        <f>B433</f>
      </c>
      <c r="Y433" s="123"/>
      <c r="Z433" s="123"/>
      <c r="AA433" s="123"/>
      <c r="AB433" s="123"/>
      <c r="AC433" s="125"/>
      <c r="AO433">
        <f>K433</f>
      </c>
      <c r="AQ433" s="123">
        <f>AO433/(1+AP433)</f>
      </c>
      <c r="AR433">
        <f>L433</f>
      </c>
    </row>
    <row r="434">
      <c r="A434" t="str">
        <v>国际</v>
      </c>
      <c r="B434" t="str">
        <v>VA</v>
      </c>
      <c r="C434" t="str" xml:space="preserve">
        <v> </v>
      </c>
      <c r="D434" t="str">
        <v>固装</v>
      </c>
      <c r="E434" t="str">
        <v>中</v>
      </c>
      <c r="F434" t="str">
        <v>蔡</v>
      </c>
      <c r="G434" t="str">
        <v>AUN2F4798A</v>
      </c>
      <c r="H434">
        <v>20251211</v>
      </c>
      <c r="I434" t="str">
        <v>南亚区</v>
      </c>
      <c r="J434" t="str">
        <v>港澳</v>
      </c>
      <c r="K434" s="126">
        <v>144067.46</v>
      </c>
      <c r="L434" t="str">
        <v>USD</v>
      </c>
      <c r="N434" t="str">
        <v>待确认</v>
      </c>
      <c r="P434">
        <f>G434</f>
      </c>
      <c r="Q434" s="125"/>
      <c r="T434">
        <f>B434</f>
      </c>
      <c r="Y434" s="123"/>
      <c r="Z434" s="123"/>
      <c r="AA434" s="123"/>
      <c r="AB434" s="123"/>
      <c r="AC434" s="125"/>
      <c r="AO434">
        <f>K434</f>
      </c>
      <c r="AQ434" s="123">
        <f>AO434/(1+AP434)</f>
      </c>
      <c r="AR434">
        <f>L434</f>
      </c>
    </row>
    <row r="435">
      <c r="A435" t="str">
        <v>国际</v>
      </c>
      <c r="B435" t="str">
        <v>VA</v>
      </c>
      <c r="C435" t="str" xml:space="preserve">
        <v> </v>
      </c>
      <c r="D435" t="str">
        <v>固装</v>
      </c>
      <c r="E435" t="str">
        <v>新</v>
      </c>
      <c r="F435" t="str">
        <v>陶</v>
      </c>
      <c r="G435" t="str">
        <v>AUR2F4944B</v>
      </c>
      <c r="H435">
        <v>20251211</v>
      </c>
      <c r="I435" t="str">
        <v>南亚区</v>
      </c>
      <c r="J435" t="str">
        <v>南亚一区</v>
      </c>
      <c r="K435" s="124">
        <v>2074</v>
      </c>
      <c r="L435" t="str">
        <v>USD</v>
      </c>
      <c r="N435" t="str">
        <v>待确认</v>
      </c>
      <c r="P435">
        <f>G435</f>
      </c>
      <c r="Q435" s="125"/>
      <c r="T435">
        <f>B435</f>
      </c>
      <c r="Y435" s="123"/>
      <c r="Z435" s="123"/>
      <c r="AA435" s="123"/>
      <c r="AB435" s="123"/>
      <c r="AC435" s="125"/>
      <c r="AO435">
        <f>K435</f>
      </c>
      <c r="AQ435" s="123">
        <f>AO435/(1+AP435)</f>
      </c>
      <c r="AR435">
        <f>L435</f>
      </c>
    </row>
    <row r="436">
      <c r="A436" t="str">
        <v>国际</v>
      </c>
      <c r="B436" t="str">
        <v>VA</v>
      </c>
      <c r="C436" t="str" xml:space="preserve">
        <v> </v>
      </c>
      <c r="D436" t="str">
        <v>固装</v>
      </c>
      <c r="E436" t="str">
        <v>中</v>
      </c>
      <c r="F436" t="str">
        <v>蔡</v>
      </c>
      <c r="G436" t="str">
        <v>AUN2F4798D</v>
      </c>
      <c r="H436">
        <v>20251211</v>
      </c>
      <c r="I436" t="str">
        <v>南亚区</v>
      </c>
      <c r="J436" t="str">
        <v>港澳</v>
      </c>
      <c r="K436" s="126">
        <v>295310.14</v>
      </c>
      <c r="L436" t="str">
        <v>USD</v>
      </c>
      <c r="N436" t="str">
        <v>待确认</v>
      </c>
      <c r="P436">
        <f>G436</f>
      </c>
      <c r="Q436" s="125"/>
      <c r="T436">
        <f>B436</f>
      </c>
      <c r="Y436" s="123"/>
      <c r="Z436" s="123"/>
      <c r="AA436" s="123"/>
      <c r="AB436" s="123"/>
      <c r="AC436" s="125"/>
      <c r="AO436">
        <f>K436</f>
      </c>
      <c r="AQ436" s="123">
        <f>AO436/(1+AP436)</f>
      </c>
      <c r="AR436">
        <f>L436</f>
      </c>
    </row>
    <row r="437">
      <c r="A437" t="str">
        <v>国际</v>
      </c>
      <c r="B437" t="str">
        <v>VA</v>
      </c>
      <c r="C437" t="str" xml:space="preserve">
        <v> </v>
      </c>
      <c r="D437" t="str">
        <v>固装</v>
      </c>
      <c r="E437" t="str">
        <v>中</v>
      </c>
      <c r="F437" t="str">
        <v>蔡</v>
      </c>
      <c r="G437" t="str">
        <v>AUN2F4798B</v>
      </c>
      <c r="H437">
        <v>20251211</v>
      </c>
      <c r="I437" t="str">
        <v>南亚区</v>
      </c>
      <c r="J437" t="str">
        <v>港澳</v>
      </c>
      <c r="K437" s="126">
        <v>316375.65</v>
      </c>
      <c r="L437" t="str">
        <v>USD</v>
      </c>
      <c r="N437" t="str">
        <v>待确认</v>
      </c>
      <c r="P437">
        <f>G437</f>
      </c>
      <c r="Q437" s="125"/>
      <c r="T437">
        <f>B437</f>
      </c>
      <c r="Y437" s="123"/>
      <c r="Z437" s="123"/>
      <c r="AA437" s="123"/>
      <c r="AB437" s="123"/>
      <c r="AC437" s="125"/>
      <c r="AO437">
        <f>K437</f>
      </c>
      <c r="AQ437" s="123">
        <f>AO437/(1+AP437)</f>
      </c>
      <c r="AR437">
        <f>L437</f>
      </c>
    </row>
    <row r="438">
      <c r="A438" t="str">
        <v>国际</v>
      </c>
      <c r="B438" t="str">
        <v>VA</v>
      </c>
      <c r="C438" t="str" xml:space="preserve">
        <v> </v>
      </c>
      <c r="D438" t="str">
        <v>固装</v>
      </c>
      <c r="E438" t="str">
        <v>印</v>
      </c>
      <c r="F438" t="str">
        <v>方</v>
      </c>
      <c r="G438" t="str">
        <v>AUR2F4610D</v>
      </c>
      <c r="H438">
        <v>20251211</v>
      </c>
      <c r="I438" t="str">
        <v>南亚区</v>
      </c>
      <c r="J438" t="str">
        <v>南亚一区</v>
      </c>
      <c r="K438" s="124">
        <v>8586</v>
      </c>
      <c r="L438" t="str">
        <v>USD</v>
      </c>
      <c r="N438" t="str">
        <v>待确认</v>
      </c>
      <c r="P438">
        <f>G438</f>
      </c>
      <c r="Q438" s="125"/>
      <c r="T438">
        <f>B438</f>
      </c>
      <c r="Y438" s="123"/>
      <c r="Z438" s="123"/>
      <c r="AA438" s="123"/>
      <c r="AB438" s="123"/>
      <c r="AC438" s="125"/>
      <c r="AO438">
        <f>K438</f>
      </c>
      <c r="AQ438" s="123">
        <f>AO438/(1+AP438)</f>
      </c>
      <c r="AR438">
        <f>L438</f>
      </c>
    </row>
    <row r="439">
      <c r="A439" t="str">
        <v>国际</v>
      </c>
      <c r="B439" t="str">
        <v>VA</v>
      </c>
      <c r="C439" t="str" xml:space="preserve">
        <v> </v>
      </c>
      <c r="D439" t="str">
        <v>固装</v>
      </c>
      <c r="E439" t="str">
        <v>印</v>
      </c>
      <c r="F439" t="str">
        <v>肖</v>
      </c>
      <c r="G439" t="str">
        <v>AUI2F4950</v>
      </c>
      <c r="H439">
        <v>20251211</v>
      </c>
      <c r="I439" t="str">
        <v>南亚区</v>
      </c>
      <c r="J439" t="str">
        <v>南亚一区</v>
      </c>
      <c r="K439" s="124">
        <v>5184</v>
      </c>
      <c r="L439" t="str">
        <v>USD</v>
      </c>
      <c r="N439" t="str">
        <v>待确认</v>
      </c>
      <c r="P439">
        <f>G439</f>
      </c>
      <c r="Q439" s="125"/>
      <c r="T439">
        <f>B439</f>
      </c>
      <c r="Y439" s="123"/>
      <c r="Z439" s="123"/>
      <c r="AA439" s="123"/>
      <c r="AB439" s="123"/>
      <c r="AC439" s="125"/>
      <c r="AO439">
        <f>K439</f>
      </c>
      <c r="AQ439" s="123">
        <f>AO439/(1+AP439)</f>
      </c>
      <c r="AR439">
        <f>L439</f>
      </c>
    </row>
    <row r="440">
      <c r="A440" t="str">
        <v>国际</v>
      </c>
      <c r="B440" t="str">
        <v>VA</v>
      </c>
      <c r="C440" t="str" xml:space="preserve">
        <v> </v>
      </c>
      <c r="D440" t="str">
        <v>固装</v>
      </c>
      <c r="E440" t="str">
        <v>中</v>
      </c>
      <c r="F440" t="str">
        <v>蔡</v>
      </c>
      <c r="G440" t="str">
        <v>AUN2F4798E</v>
      </c>
      <c r="H440">
        <v>20251211</v>
      </c>
      <c r="I440" t="str">
        <v>南亚区</v>
      </c>
      <c r="J440" t="str">
        <v>港澳</v>
      </c>
      <c r="K440" s="124">
        <v>41684</v>
      </c>
      <c r="L440" t="str">
        <v>USD</v>
      </c>
      <c r="N440" t="str">
        <v>待确认</v>
      </c>
      <c r="P440">
        <f>G440</f>
      </c>
      <c r="Q440" s="125"/>
      <c r="T440">
        <f>B440</f>
      </c>
      <c r="Y440" s="123"/>
      <c r="Z440" s="123"/>
      <c r="AA440" s="123"/>
      <c r="AB440" s="123"/>
      <c r="AC440" s="125"/>
      <c r="AO440">
        <f>K440</f>
      </c>
      <c r="AQ440" s="123">
        <f>AO440/(1+AP440)</f>
      </c>
      <c r="AR440">
        <f>L440</f>
      </c>
    </row>
    <row r="441">
      <c r="A441" t="str">
        <v>国际</v>
      </c>
      <c r="B441" t="str">
        <v>VA</v>
      </c>
      <c r="C441" t="str" xml:space="preserve">
        <v> </v>
      </c>
      <c r="D441" t="str">
        <v>固装</v>
      </c>
      <c r="E441" t="str">
        <v>中</v>
      </c>
      <c r="F441" t="str">
        <v>蔡</v>
      </c>
      <c r="G441" t="str">
        <v>AUN2F4798C</v>
      </c>
      <c r="H441">
        <v>20251211</v>
      </c>
      <c r="I441" t="str">
        <v>南亚区</v>
      </c>
      <c r="J441" t="str">
        <v>港澳</v>
      </c>
      <c r="K441" s="126">
        <v>199452.35</v>
      </c>
      <c r="L441" t="str">
        <v>USD</v>
      </c>
      <c r="N441" t="str">
        <v>待确认</v>
      </c>
      <c r="P441">
        <f>G441</f>
      </c>
      <c r="Q441" s="125"/>
      <c r="T441">
        <f>B441</f>
      </c>
      <c r="Y441" s="123"/>
      <c r="Z441" s="123"/>
      <c r="AA441" s="123"/>
      <c r="AB441" s="123"/>
      <c r="AC441" s="125"/>
      <c r="AO441">
        <f>K441</f>
      </c>
      <c r="AQ441" s="123">
        <f>AO441/(1+AP441)</f>
      </c>
      <c r="AR441">
        <f>L441</f>
      </c>
    </row>
    <row r="442">
      <c r="A442" t="str">
        <v>国际</v>
      </c>
      <c r="B442" t="str">
        <v>VA</v>
      </c>
      <c r="C442" t="str" xml:space="preserve">
        <v> </v>
      </c>
      <c r="D442" t="str">
        <v>蓝普分销</v>
      </c>
      <c r="E442" t="str">
        <v>智</v>
      </c>
      <c r="F442" t="str">
        <v>李</v>
      </c>
      <c r="G442" t="str">
        <v>APM2F4478</v>
      </c>
      <c r="H442">
        <v>20251211</v>
      </c>
      <c r="I442" t="str">
        <v>南美区</v>
      </c>
      <c r="J442" t="str">
        <v>南美三区</v>
      </c>
      <c r="K442" s="126">
        <v>47789.88</v>
      </c>
      <c r="L442" t="str">
        <v>USD</v>
      </c>
      <c r="N442" t="str">
        <v>待确认</v>
      </c>
      <c r="P442">
        <f>G442</f>
      </c>
      <c r="Q442" s="125"/>
      <c r="T442">
        <f>B442</f>
      </c>
      <c r="Y442" s="123"/>
      <c r="Z442" s="123"/>
      <c r="AA442" s="123"/>
      <c r="AB442" s="123"/>
      <c r="AC442" s="125"/>
      <c r="AO442">
        <f>K442</f>
      </c>
      <c r="AQ442" s="123">
        <f>AO442/(1+AP442)</f>
      </c>
      <c r="AR442">
        <f>L442</f>
      </c>
    </row>
    <row r="443">
      <c r="A443" t="str">
        <v>国际</v>
      </c>
      <c r="B443" t="str">
        <v>VA</v>
      </c>
      <c r="C443" t="str" xml:space="preserve">
        <v> </v>
      </c>
      <c r="D443" t="str">
        <v>蓝普工程</v>
      </c>
      <c r="E443" t="str">
        <v>越</v>
      </c>
      <c r="F443" t="str">
        <v>张</v>
      </c>
      <c r="G443" t="str">
        <v>AUP2F4939</v>
      </c>
      <c r="H443">
        <v>20251211</v>
      </c>
      <c r="I443" t="str">
        <v>南亚区</v>
      </c>
      <c r="J443" t="str">
        <v>泰越</v>
      </c>
      <c r="K443" s="124">
        <v>60855</v>
      </c>
      <c r="L443" t="str">
        <v>USD</v>
      </c>
      <c r="N443" t="str">
        <v>待确认</v>
      </c>
      <c r="P443">
        <f>G443</f>
      </c>
      <c r="Q443" s="125"/>
      <c r="T443">
        <f>B443</f>
      </c>
      <c r="Y443" s="123"/>
      <c r="Z443" s="123"/>
      <c r="AA443" s="123"/>
      <c r="AB443" s="123"/>
      <c r="AC443" s="125"/>
      <c r="AO443">
        <f>K443</f>
      </c>
      <c r="AQ443" s="123">
        <f>AO443/(1+AP443)</f>
      </c>
      <c r="AR443">
        <f>L443</f>
      </c>
    </row>
    <row r="444">
      <c r="A444" t="str">
        <v>国际</v>
      </c>
      <c r="B444" t="str">
        <v>VA</v>
      </c>
      <c r="C444" t="str" xml:space="preserve">
        <v> </v>
      </c>
      <c r="D444" t="str">
        <v>蓝普租赁</v>
      </c>
      <c r="E444" t="str">
        <v>新</v>
      </c>
      <c r="F444" t="str">
        <v>陶</v>
      </c>
      <c r="G444" t="str">
        <v>AUR2F4944A</v>
      </c>
      <c r="H444">
        <v>20251211</v>
      </c>
      <c r="I444" t="str">
        <v>南亚区</v>
      </c>
      <c r="J444" t="str">
        <v>南亚一区</v>
      </c>
      <c r="K444" s="124">
        <v>64544</v>
      </c>
      <c r="L444" t="str">
        <v>USD</v>
      </c>
      <c r="N444" t="str">
        <v>待确认</v>
      </c>
      <c r="P444">
        <f>G444</f>
      </c>
      <c r="Q444" s="125"/>
      <c r="T444">
        <f>B444</f>
      </c>
      <c r="Y444" s="123"/>
      <c r="Z444" s="123"/>
      <c r="AA444" s="123"/>
      <c r="AB444" s="123"/>
      <c r="AC444" s="125"/>
      <c r="AO444">
        <f>K444</f>
      </c>
      <c r="AQ444" s="123">
        <f>AO444/(1+AP444)</f>
      </c>
      <c r="AR444">
        <f>L444</f>
      </c>
    </row>
    <row r="445">
      <c r="A445" t="str">
        <v>国际</v>
      </c>
      <c r="B445" t="str">
        <v>VA</v>
      </c>
      <c r="C445" t="str" xml:space="preserve">
        <v> </v>
      </c>
      <c r="D445" t="str">
        <v>新显示</v>
      </c>
      <c r="E445" t="str">
        <v>阿</v>
      </c>
      <c r="F445" t="str">
        <v>S</v>
      </c>
      <c r="G445" t="str">
        <v>AUN2F4717</v>
      </c>
      <c r="H445">
        <v>20251211</v>
      </c>
      <c r="I445" t="str">
        <v>中东非区</v>
      </c>
      <c r="J445" t="str">
        <v>海湾一区</v>
      </c>
      <c r="K445" s="126">
        <v>56200.13</v>
      </c>
      <c r="L445" t="str">
        <v>USD</v>
      </c>
      <c r="N445" t="str">
        <v>待确认</v>
      </c>
      <c r="P445">
        <f>G445</f>
      </c>
      <c r="Q445" s="125"/>
      <c r="T445">
        <f>B445</f>
      </c>
      <c r="Y445" s="123"/>
      <c r="Z445" s="123"/>
      <c r="AA445" s="123"/>
      <c r="AB445" s="123"/>
      <c r="AC445" s="125"/>
      <c r="AO445">
        <f>K445</f>
      </c>
      <c r="AQ445" s="123">
        <f>AO445/(1+AP445)</f>
      </c>
      <c r="AR445">
        <f>L445</f>
      </c>
    </row>
    <row r="446">
      <c r="A446" t="str">
        <v>国际</v>
      </c>
      <c r="B446" t="str">
        <v>VA</v>
      </c>
      <c r="C446" t="str" xml:space="preserve">
        <v> </v>
      </c>
      <c r="D446" t="str">
        <v>洲明分销</v>
      </c>
      <c r="E446" t="str">
        <v>阿</v>
      </c>
      <c r="F446" t="str">
        <v>孔</v>
      </c>
      <c r="G446" t="str">
        <v>AUN2F4778</v>
      </c>
      <c r="H446">
        <v>20251211</v>
      </c>
      <c r="I446" t="str">
        <v>俄语区</v>
      </c>
      <c r="J446" t="str">
        <v>欧亚集群一区</v>
      </c>
      <c r="K446" s="126">
        <v>2241.72</v>
      </c>
      <c r="L446" t="str">
        <v>USD</v>
      </c>
      <c r="N446" t="str">
        <v>待确认</v>
      </c>
      <c r="P446">
        <f>G446</f>
      </c>
      <c r="Q446" s="125"/>
      <c r="T446">
        <f>B446</f>
      </c>
      <c r="Y446" s="123"/>
      <c r="Z446" s="123"/>
      <c r="AA446" s="123"/>
      <c r="AB446" s="123"/>
      <c r="AC446" s="125"/>
      <c r="AO446">
        <f>K446</f>
      </c>
      <c r="AQ446" s="123">
        <f>AO446/(1+AP446)</f>
      </c>
      <c r="AR446">
        <f>L446</f>
      </c>
    </row>
    <row r="447">
      <c r="A447" t="str">
        <v>国际</v>
      </c>
      <c r="B447" t="str">
        <v>VA</v>
      </c>
      <c r="C447" t="str" xml:space="preserve">
        <v> </v>
      </c>
      <c r="D447" t="str">
        <v>洲明分销</v>
      </c>
      <c r="E447" t="str">
        <v>印</v>
      </c>
      <c r="F447" t="str">
        <v>何</v>
      </c>
      <c r="G447" t="str">
        <v>AUI2F1740E</v>
      </c>
      <c r="H447">
        <v>20251211</v>
      </c>
      <c r="I447" t="str">
        <v>南亚区</v>
      </c>
      <c r="J447" t="str">
        <v>印度</v>
      </c>
      <c r="K447" s="126">
        <v>21282.81</v>
      </c>
      <c r="L447" t="str">
        <v>USD</v>
      </c>
      <c r="N447" t="str">
        <v>待确认</v>
      </c>
      <c r="P447">
        <f>G447</f>
      </c>
      <c r="Q447" s="125"/>
      <c r="T447">
        <f>B447</f>
      </c>
      <c r="Y447" s="123"/>
      <c r="Z447" s="123"/>
      <c r="AA447" s="123"/>
      <c r="AB447" s="123"/>
      <c r="AC447" s="125"/>
      <c r="AO447">
        <f>K447</f>
      </c>
      <c r="AQ447" s="123">
        <f>AO447/(1+AP447)</f>
      </c>
      <c r="AR447">
        <f>L447</f>
      </c>
    </row>
    <row r="448">
      <c r="A448" t="str">
        <v>国际</v>
      </c>
      <c r="B448" t="str">
        <v>VA</v>
      </c>
      <c r="C448" t="str" xml:space="preserve">
        <v> </v>
      </c>
      <c r="D448" t="str">
        <v>洲明分销</v>
      </c>
      <c r="E448" t="str">
        <v>沙</v>
      </c>
      <c r="F448" t="str">
        <v>徐</v>
      </c>
      <c r="G448" t="str">
        <v>AUN2F4839E</v>
      </c>
      <c r="H448">
        <v>20251211</v>
      </c>
      <c r="I448" t="str">
        <v>中东非区</v>
      </c>
      <c r="J448" t="str">
        <v>海湾二区</v>
      </c>
      <c r="K448" s="124">
        <v>102693</v>
      </c>
      <c r="L448" t="str">
        <v>USD</v>
      </c>
      <c r="N448" t="str">
        <v>待确认</v>
      </c>
      <c r="P448">
        <f>G448</f>
      </c>
      <c r="Q448" s="125"/>
      <c r="T448">
        <f>B448</f>
      </c>
      <c r="Y448" s="123"/>
      <c r="Z448" s="123"/>
      <c r="AA448" s="123"/>
      <c r="AB448" s="123"/>
      <c r="AC448" s="125"/>
      <c r="AO448">
        <f>K448</f>
      </c>
      <c r="AQ448" s="123">
        <f>AO448/(1+AP448)</f>
      </c>
      <c r="AR448">
        <f>L448</f>
      </c>
    </row>
    <row r="449">
      <c r="A449" t="str">
        <v>国际</v>
      </c>
      <c r="B449" t="str">
        <v>VA</v>
      </c>
      <c r="C449" t="str" xml:space="preserve">
        <v> </v>
      </c>
      <c r="D449" t="str">
        <v>洲明租赁</v>
      </c>
      <c r="E449" t="str">
        <v>印</v>
      </c>
      <c r="F449" t="str">
        <v>方</v>
      </c>
      <c r="G449" t="str">
        <v>AUR2F4610B</v>
      </c>
      <c r="H449">
        <v>20251211</v>
      </c>
      <c r="I449" t="str">
        <v>南亚区</v>
      </c>
      <c r="J449" t="str">
        <v>南亚一区</v>
      </c>
      <c r="K449" s="124">
        <v>32754</v>
      </c>
      <c r="L449" t="str">
        <v>USD</v>
      </c>
      <c r="N449" t="str">
        <v>待确认</v>
      </c>
      <c r="P449">
        <f>G449</f>
      </c>
      <c r="Q449" s="125"/>
      <c r="T449">
        <f>B449</f>
      </c>
      <c r="Y449" s="123"/>
      <c r="Z449" s="123"/>
      <c r="AA449" s="123"/>
      <c r="AB449" s="123"/>
      <c r="AC449" s="125"/>
      <c r="AO449">
        <f>K449</f>
      </c>
      <c r="AQ449" s="123">
        <f>AO449/(1+AP449)</f>
      </c>
      <c r="AR449">
        <f>L449</f>
      </c>
    </row>
    <row r="450">
      <c r="A450" t="str">
        <v>国际</v>
      </c>
      <c r="B450" t="str">
        <v>VA</v>
      </c>
      <c r="C450" t="str" xml:space="preserve">
        <v> </v>
      </c>
      <c r="D450" t="str">
        <v>洲明租赁</v>
      </c>
      <c r="E450" t="str">
        <v>印</v>
      </c>
      <c r="F450" t="str">
        <v>方</v>
      </c>
      <c r="G450" t="str">
        <v>AUR2F4610A</v>
      </c>
      <c r="H450">
        <v>20251211</v>
      </c>
      <c r="I450" t="str">
        <v>南亚区</v>
      </c>
      <c r="J450" t="str">
        <v>南亚一区</v>
      </c>
      <c r="K450" s="124">
        <v>152712</v>
      </c>
      <c r="L450" t="str">
        <v>USD</v>
      </c>
      <c r="N450" t="str">
        <v>待确认</v>
      </c>
      <c r="P450">
        <f>G450</f>
      </c>
      <c r="Q450" s="125"/>
      <c r="T450">
        <f>B450</f>
      </c>
      <c r="Y450" s="123"/>
      <c r="Z450" s="123"/>
      <c r="AA450" s="123"/>
      <c r="AB450" s="123"/>
      <c r="AC450" s="125"/>
      <c r="AO450">
        <f>K450</f>
      </c>
      <c r="AQ450" s="123">
        <f>AO450/(1+AP450)</f>
      </c>
      <c r="AR450">
        <f>L450</f>
      </c>
    </row>
    <row r="451">
      <c r="A451" t="str">
        <v>国际</v>
      </c>
      <c r="B451" t="str">
        <v>VA</v>
      </c>
      <c r="C451" t="str" xml:space="preserve">
        <v> </v>
      </c>
      <c r="D451" t="str">
        <v>洲明租赁</v>
      </c>
      <c r="E451" t="str">
        <v>印</v>
      </c>
      <c r="F451" t="str">
        <v>方</v>
      </c>
      <c r="G451" t="str">
        <v>AUR2F4610C</v>
      </c>
      <c r="H451">
        <v>20251211</v>
      </c>
      <c r="I451" t="str">
        <v>南亚区</v>
      </c>
      <c r="J451" t="str">
        <v>南亚一区</v>
      </c>
      <c r="K451" s="126">
        <v>45111.11</v>
      </c>
      <c r="L451" t="str">
        <v>USD</v>
      </c>
      <c r="N451" t="str">
        <v>待确认</v>
      </c>
      <c r="P451">
        <f>G451</f>
      </c>
      <c r="Q451" s="125"/>
      <c r="T451">
        <f>B451</f>
      </c>
      <c r="Y451" s="123"/>
      <c r="Z451" s="123"/>
      <c r="AA451" s="123"/>
      <c r="AB451" s="123"/>
      <c r="AC451" s="125"/>
      <c r="AO451">
        <f>K451</f>
      </c>
      <c r="AQ451" s="123">
        <f>AO451/(1+AP451)</f>
      </c>
      <c r="AR451">
        <f>L451</f>
      </c>
    </row>
    <row r="452">
      <c r="A452" t="str">
        <v>国际</v>
      </c>
      <c r="B452" t="str">
        <v>VA</v>
      </c>
      <c r="C452" t="str" xml:space="preserve">
        <v> </v>
      </c>
      <c r="D452" t="str">
        <v>固装</v>
      </c>
      <c r="E452" t="str">
        <v>沙</v>
      </c>
      <c r="F452" t="str">
        <v>马</v>
      </c>
      <c r="G452" t="str">
        <v>AUO2F4486B</v>
      </c>
      <c r="H452">
        <v>20251203</v>
      </c>
      <c r="I452" t="str">
        <v>中东非区</v>
      </c>
      <c r="J452" t="str">
        <v>海湾二区</v>
      </c>
      <c r="K452" s="124">
        <v>730000</v>
      </c>
      <c r="L452" t="str">
        <v>USD</v>
      </c>
      <c r="N452" t="str">
        <v>待确认</v>
      </c>
      <c r="P452">
        <f>G452</f>
      </c>
      <c r="Q452" s="125"/>
      <c r="T452">
        <f>B452</f>
      </c>
      <c r="Y452" s="123"/>
      <c r="Z452" s="123"/>
      <c r="AA452" s="123"/>
      <c r="AB452" s="123"/>
      <c r="AC452" s="125"/>
      <c r="AO452">
        <f>K452</f>
      </c>
      <c r="AQ452" s="123">
        <f>AO452/(1+AP452)</f>
      </c>
      <c r="AR452">
        <f>L452</f>
      </c>
    </row>
    <row r="453">
      <c r="A453" t="str">
        <v>国际</v>
      </c>
      <c r="B453" t="str">
        <v>VA</v>
      </c>
      <c r="C453" t="str" xml:space="preserve">
        <v> </v>
      </c>
      <c r="D453" t="str">
        <v>固装</v>
      </c>
      <c r="E453" t="str">
        <v>沙</v>
      </c>
      <c r="F453" t="str">
        <v>马</v>
      </c>
      <c r="G453" t="str">
        <v>AUO2F4486A</v>
      </c>
      <c r="H453">
        <v>20251203</v>
      </c>
      <c r="I453" t="str">
        <v>中东非区</v>
      </c>
      <c r="J453" t="str">
        <v>海湾二区</v>
      </c>
      <c r="K453" s="124">
        <v>1460000</v>
      </c>
      <c r="L453" t="str">
        <v>USD</v>
      </c>
      <c r="N453" t="str">
        <v>待确认</v>
      </c>
      <c r="P453">
        <f>G453</f>
      </c>
      <c r="Q453" s="125"/>
      <c r="T453">
        <f>B453</f>
      </c>
      <c r="Y453" s="123"/>
      <c r="Z453" s="123"/>
      <c r="AA453" s="123"/>
      <c r="AB453" s="123"/>
      <c r="AC453" s="125"/>
      <c r="AO453">
        <f>K453</f>
      </c>
      <c r="AQ453" s="123">
        <f>AO453/(1+AP453)</f>
      </c>
      <c r="AR453">
        <f>L453</f>
      </c>
    </row>
    <row r="454">
      <c r="A454" t="str">
        <v>国际</v>
      </c>
      <c r="B454" t="str">
        <v>VA</v>
      </c>
      <c r="C454" t="str" xml:space="preserve">
        <v> </v>
      </c>
      <c r="D454" t="str">
        <v>蓝普分销</v>
      </c>
      <c r="E454" t="str">
        <v>埃</v>
      </c>
      <c r="F454" t="str">
        <v>曹</v>
      </c>
      <c r="G454" t="str">
        <v>APM2F1208B</v>
      </c>
      <c r="H454">
        <v>20251128</v>
      </c>
      <c r="I454" t="str">
        <v>中东非区</v>
      </c>
      <c r="J454" t="str">
        <v>海湾二区</v>
      </c>
      <c r="K454" s="124">
        <v>25493</v>
      </c>
      <c r="L454" t="str">
        <v>USD</v>
      </c>
      <c r="N454" t="str">
        <v>待确认</v>
      </c>
      <c r="P454">
        <f>G454</f>
      </c>
      <c r="Q454" s="125"/>
      <c r="T454">
        <f>B454</f>
      </c>
      <c r="Y454" s="123"/>
      <c r="Z454" s="123"/>
      <c r="AA454" s="123"/>
      <c r="AB454" s="123"/>
      <c r="AC454" s="125"/>
      <c r="AO454">
        <f>K454</f>
      </c>
      <c r="AQ454" s="123">
        <f>AO454/(1+AP454)</f>
      </c>
      <c r="AR454">
        <f>L454</f>
      </c>
    </row>
    <row r="455">
      <c r="A455" t="str">
        <v>国际</v>
      </c>
      <c r="B455" t="str">
        <v>VA</v>
      </c>
      <c r="C455" t="str" xml:space="preserve">
        <v> </v>
      </c>
      <c r="D455" t="str">
        <v>蓝普分销</v>
      </c>
      <c r="E455" t="str">
        <v>埃</v>
      </c>
      <c r="F455" t="str">
        <v>曹</v>
      </c>
      <c r="G455" t="str">
        <v>APM2F1208D</v>
      </c>
      <c r="H455">
        <v>20251128</v>
      </c>
      <c r="I455" t="str">
        <v>中东非区</v>
      </c>
      <c r="J455" t="str">
        <v>海湾二区</v>
      </c>
      <c r="K455" s="124">
        <v>33550</v>
      </c>
      <c r="L455" t="str">
        <v>USD</v>
      </c>
      <c r="N455" t="str">
        <v>待确认</v>
      </c>
      <c r="P455">
        <f>G455</f>
      </c>
      <c r="Q455" s="125"/>
      <c r="T455">
        <f>B455</f>
      </c>
      <c r="Y455" s="123"/>
      <c r="Z455" s="123"/>
      <c r="AA455" s="123"/>
      <c r="AB455" s="123"/>
      <c r="AC455" s="125"/>
      <c r="AO455">
        <f>K455</f>
      </c>
      <c r="AQ455" s="123">
        <f>AO455/(1+AP455)</f>
      </c>
      <c r="AR455">
        <f>L455</f>
      </c>
    </row>
    <row r="456">
      <c r="A456" t="str">
        <v>国际</v>
      </c>
      <c r="B456" t="str">
        <v>VA</v>
      </c>
      <c r="C456" t="str" xml:space="preserve">
        <v> </v>
      </c>
      <c r="D456" t="str">
        <v>蓝普分销</v>
      </c>
      <c r="E456" t="str">
        <v>埃</v>
      </c>
      <c r="F456" t="str">
        <v>曹</v>
      </c>
      <c r="G456" t="str">
        <v>APM2F1208F</v>
      </c>
      <c r="H456">
        <v>20251128</v>
      </c>
      <c r="I456" t="str">
        <v>中东非区</v>
      </c>
      <c r="J456" t="str">
        <v>海湾二区</v>
      </c>
      <c r="K456" s="124">
        <v>38969</v>
      </c>
      <c r="L456" t="str">
        <v>USD</v>
      </c>
      <c r="N456" t="str">
        <v>待确认</v>
      </c>
      <c r="P456">
        <f>G456</f>
      </c>
      <c r="Q456" s="125"/>
      <c r="T456">
        <f>B456</f>
      </c>
      <c r="Y456" s="123"/>
      <c r="Z456" s="123"/>
      <c r="AA456" s="123"/>
      <c r="AB456" s="123"/>
      <c r="AC456" s="125"/>
      <c r="AO456">
        <f>K456</f>
      </c>
      <c r="AQ456" s="123">
        <f>AO456/(1+AP456)</f>
      </c>
      <c r="AR456">
        <f>L456</f>
      </c>
    </row>
    <row r="457">
      <c r="A457" t="str">
        <v>国际</v>
      </c>
      <c r="B457" t="str">
        <v>VA</v>
      </c>
      <c r="C457" t="str" xml:space="preserve">
        <v> </v>
      </c>
      <c r="D457" t="str">
        <v>蓝普分销</v>
      </c>
      <c r="E457" t="str">
        <v>埃</v>
      </c>
      <c r="F457" t="str">
        <v>曹</v>
      </c>
      <c r="G457" t="str">
        <v>APM2F1208C</v>
      </c>
      <c r="H457">
        <v>20251128</v>
      </c>
      <c r="I457" t="str">
        <v>中东非区</v>
      </c>
      <c r="J457" t="str">
        <v>海湾二区</v>
      </c>
      <c r="K457" s="124">
        <v>8648</v>
      </c>
      <c r="L457" t="str">
        <v>USD</v>
      </c>
      <c r="N457" t="str">
        <v>待确认</v>
      </c>
      <c r="P457">
        <f>G457</f>
      </c>
      <c r="Q457" s="125"/>
      <c r="T457">
        <f>B457</f>
      </c>
      <c r="Y457" s="123"/>
      <c r="Z457" s="123"/>
      <c r="AA457" s="123"/>
      <c r="AB457" s="123"/>
      <c r="AC457" s="125"/>
      <c r="AO457">
        <f>K457</f>
      </c>
      <c r="AQ457" s="123">
        <f>AO457/(1+AP457)</f>
      </c>
      <c r="AR457">
        <f>L457</f>
      </c>
    </row>
    <row r="458">
      <c r="A458" t="str">
        <v>国际</v>
      </c>
      <c r="B458" t="str">
        <v>VA</v>
      </c>
      <c r="C458" t="str" xml:space="preserve">
        <v> </v>
      </c>
      <c r="D458" t="str">
        <v>蓝普分销</v>
      </c>
      <c r="E458" t="str">
        <v>埃</v>
      </c>
      <c r="F458" t="str">
        <v>曹</v>
      </c>
      <c r="G458" t="str">
        <v>APM2F1208E</v>
      </c>
      <c r="H458">
        <v>20251128</v>
      </c>
      <c r="I458" t="str">
        <v>中东非区</v>
      </c>
      <c r="J458" t="str">
        <v>海湾二区</v>
      </c>
      <c r="K458" s="124">
        <v>25631</v>
      </c>
      <c r="L458" t="str">
        <v>USD</v>
      </c>
      <c r="N458" t="str">
        <v>待确认</v>
      </c>
      <c r="P458">
        <f>G458</f>
      </c>
      <c r="Q458" s="125"/>
      <c r="T458">
        <f>B458</f>
      </c>
      <c r="Y458" s="123"/>
      <c r="Z458" s="123"/>
      <c r="AA458" s="123"/>
      <c r="AB458" s="123"/>
      <c r="AC458" s="125"/>
      <c r="AO458">
        <f>K458</f>
      </c>
      <c r="AQ458" s="123">
        <f>AO458/(1+AP458)</f>
      </c>
      <c r="AR458">
        <f>L458</f>
      </c>
    </row>
    <row r="459">
      <c r="A459" t="str">
        <v>国际</v>
      </c>
      <c r="B459" t="str">
        <v>VA</v>
      </c>
      <c r="C459" t="str" xml:space="preserve">
        <v> </v>
      </c>
      <c r="D459" t="str">
        <v>蓝普分销</v>
      </c>
      <c r="E459" t="str">
        <v>埃</v>
      </c>
      <c r="F459" t="str">
        <v>曹</v>
      </c>
      <c r="G459" t="str">
        <v>APM2F1208A</v>
      </c>
      <c r="H459">
        <v>20251128</v>
      </c>
      <c r="I459" t="str">
        <v>中东非区</v>
      </c>
      <c r="J459" t="str">
        <v>海湾二区</v>
      </c>
      <c r="K459" s="124">
        <v>24400</v>
      </c>
      <c r="L459" t="str">
        <v>USD</v>
      </c>
      <c r="N459" t="str">
        <v>待确认</v>
      </c>
      <c r="P459">
        <f>G459</f>
      </c>
      <c r="Q459" s="125"/>
      <c r="T459">
        <f>B459</f>
      </c>
      <c r="Y459" s="123"/>
      <c r="Z459" s="123"/>
      <c r="AA459" s="123"/>
      <c r="AB459" s="123"/>
      <c r="AC459" s="125"/>
      <c r="AO459">
        <f>K459</f>
      </c>
      <c r="AQ459" s="123">
        <f>AO459/(1+AP459)</f>
      </c>
      <c r="AR459">
        <f>L459</f>
      </c>
    </row>
    <row r="460">
      <c r="A460" t="str">
        <v>国际</v>
      </c>
      <c r="B460" t="str">
        <v>VA</v>
      </c>
      <c r="C460" t="str" xml:space="preserve">
        <v> </v>
      </c>
      <c r="D460" t="str">
        <v>UTV</v>
      </c>
      <c r="E460" t="str">
        <v>新</v>
      </c>
      <c r="F460" t="str">
        <v>颜</v>
      </c>
      <c r="G460" t="str">
        <v>AUN2F4064F</v>
      </c>
      <c r="H460">
        <v>20251120</v>
      </c>
      <c r="I460" t="str">
        <v>南亚区</v>
      </c>
      <c r="J460" t="str">
        <v>南亚一区</v>
      </c>
      <c r="K460" s="124">
        <v>149.89</v>
      </c>
      <c r="L460" t="str">
        <v>USD</v>
      </c>
      <c r="N460" t="str">
        <v>待确认</v>
      </c>
      <c r="P460">
        <f>G460</f>
      </c>
      <c r="Q460" s="125"/>
      <c r="T460">
        <f>B460</f>
      </c>
      <c r="Y460" s="123"/>
      <c r="Z460" s="123"/>
      <c r="AA460" s="123"/>
      <c r="AB460" s="123"/>
      <c r="AC460" s="125"/>
      <c r="AO460">
        <f>K460</f>
      </c>
      <c r="AQ460" s="123">
        <f>AO460/(1+AP460)</f>
      </c>
      <c r="AR460">
        <f>L460</f>
      </c>
    </row>
    <row r="461">
      <c r="A461" t="str">
        <v>国际</v>
      </c>
      <c r="B461" t="str">
        <v>VA</v>
      </c>
      <c r="C461" t="str" xml:space="preserve">
        <v> </v>
      </c>
      <c r="D461" t="str">
        <v>固装</v>
      </c>
      <c r="E461" t="str">
        <v>印</v>
      </c>
      <c r="F461" t="str">
        <v>聂</v>
      </c>
      <c r="G461" t="str">
        <v>AUI2F2284-Z</v>
      </c>
      <c r="H461">
        <v>20251120</v>
      </c>
      <c r="I461" t="str">
        <v>南亚区</v>
      </c>
      <c r="J461" t="str">
        <v>印度</v>
      </c>
      <c r="K461" s="126">
        <v>9832.5</v>
      </c>
      <c r="L461" t="str">
        <v>USD</v>
      </c>
      <c r="N461" t="str">
        <v>待确认</v>
      </c>
      <c r="P461">
        <f>G461</f>
      </c>
      <c r="Q461" s="125"/>
      <c r="T461">
        <f>B461</f>
      </c>
      <c r="Y461" s="123"/>
      <c r="Z461" s="123"/>
      <c r="AA461" s="123"/>
      <c r="AB461" s="123"/>
      <c r="AC461" s="125"/>
      <c r="AO461">
        <f>K461</f>
      </c>
      <c r="AQ461" s="123">
        <f>AO461/(1+AP461)</f>
      </c>
      <c r="AR461">
        <f>L461</f>
      </c>
    </row>
    <row r="462">
      <c r="A462" t="str">
        <v>国际</v>
      </c>
      <c r="B462" t="str">
        <v>VA</v>
      </c>
      <c r="C462" t="str" xml:space="preserve">
        <v> </v>
      </c>
      <c r="D462" t="str">
        <v>蓝普分销</v>
      </c>
      <c r="E462" t="str">
        <v>印</v>
      </c>
      <c r="F462" t="str">
        <v>何</v>
      </c>
      <c r="G462" t="str">
        <v>APM2F4458</v>
      </c>
      <c r="H462">
        <v>20251120</v>
      </c>
      <c r="I462" t="str">
        <v>南亚区</v>
      </c>
      <c r="J462" t="str">
        <v>印度</v>
      </c>
      <c r="K462" s="124">
        <v>33468</v>
      </c>
      <c r="L462" t="str">
        <v>USD</v>
      </c>
      <c r="N462" t="str">
        <v>待确认</v>
      </c>
      <c r="P462">
        <f>G462</f>
      </c>
      <c r="Q462" s="125"/>
      <c r="T462">
        <f>B462</f>
      </c>
      <c r="Y462" s="123"/>
      <c r="Z462" s="123"/>
      <c r="AA462" s="123"/>
      <c r="AB462" s="123"/>
      <c r="AC462" s="125"/>
      <c r="AO462">
        <f>K462</f>
      </c>
      <c r="AQ462" s="123">
        <f>AO462/(1+AP462)</f>
      </c>
      <c r="AR462">
        <f>L462</f>
      </c>
    </row>
    <row r="463">
      <c r="A463" t="str">
        <v>国际</v>
      </c>
      <c r="B463" t="str">
        <v>VA</v>
      </c>
      <c r="C463" t="str" xml:space="preserve">
        <v> </v>
      </c>
      <c r="D463" t="str">
        <v>蓝普工程</v>
      </c>
      <c r="E463" t="str">
        <v>巴</v>
      </c>
      <c r="F463" t="str">
        <v>童</v>
      </c>
      <c r="G463" t="str">
        <v>APP2F3744D</v>
      </c>
      <c r="H463">
        <v>20251120</v>
      </c>
      <c r="I463" t="str">
        <v>南美区</v>
      </c>
      <c r="J463" t="str">
        <v>南美二区</v>
      </c>
      <c r="K463" s="124">
        <v>732.12</v>
      </c>
      <c r="L463" t="str">
        <v>USD</v>
      </c>
      <c r="N463" t="str">
        <v>待确认</v>
      </c>
      <c r="P463">
        <f>G463</f>
      </c>
      <c r="Q463" s="125"/>
      <c r="T463">
        <f>B463</f>
      </c>
      <c r="Y463" s="123"/>
      <c r="Z463" s="123"/>
      <c r="AA463" s="123"/>
      <c r="AB463" s="123"/>
      <c r="AC463" s="125"/>
      <c r="AO463">
        <f>K463</f>
      </c>
      <c r="AQ463" s="123">
        <f>AO463/(1+AP463)</f>
      </c>
      <c r="AR463">
        <f>L463</f>
      </c>
    </row>
    <row r="464">
      <c r="A464" t="str">
        <v>国际</v>
      </c>
      <c r="B464" t="str">
        <v>VA</v>
      </c>
      <c r="C464" t="str" xml:space="preserve">
        <v> </v>
      </c>
      <c r="D464" t="str">
        <v>蓝普工程</v>
      </c>
      <c r="E464" t="str">
        <v>巴</v>
      </c>
      <c r="F464" t="str">
        <v>童</v>
      </c>
      <c r="G464" t="str">
        <v>APP2F3744B</v>
      </c>
      <c r="H464">
        <v>20251120</v>
      </c>
      <c r="I464" t="str">
        <v>南美区</v>
      </c>
      <c r="J464" t="str">
        <v>南美二区</v>
      </c>
      <c r="K464" s="126">
        <v>9396.05</v>
      </c>
      <c r="L464" t="str">
        <v>USD</v>
      </c>
      <c r="N464" t="str">
        <v>待确认</v>
      </c>
      <c r="P464">
        <f>G464</f>
      </c>
      <c r="Q464" s="125"/>
      <c r="T464">
        <f>B464</f>
      </c>
      <c r="Y464" s="123"/>
      <c r="Z464" s="123"/>
      <c r="AA464" s="123"/>
      <c r="AB464" s="123"/>
      <c r="AC464" s="125"/>
      <c r="AO464">
        <f>K464</f>
      </c>
      <c r="AQ464" s="123">
        <f>AO464/(1+AP464)</f>
      </c>
      <c r="AR464">
        <f>L464</f>
      </c>
    </row>
    <row r="465">
      <c r="A465" t="str">
        <v>国际</v>
      </c>
      <c r="B465" t="str">
        <v>VA</v>
      </c>
      <c r="C465" t="str" xml:space="preserve">
        <v> </v>
      </c>
      <c r="D465" t="str">
        <v>蓝普工程</v>
      </c>
      <c r="E465" t="str">
        <v>巴</v>
      </c>
      <c r="F465" t="str">
        <v>童</v>
      </c>
      <c r="G465" t="str">
        <v>APP2F3744C</v>
      </c>
      <c r="H465">
        <v>20251120</v>
      </c>
      <c r="I465" t="str">
        <v>南美区</v>
      </c>
      <c r="J465" t="str">
        <v>南美二区</v>
      </c>
      <c r="K465" s="126">
        <v>41863.66</v>
      </c>
      <c r="L465" t="str">
        <v>USD</v>
      </c>
      <c r="N465" t="str">
        <v>待确认</v>
      </c>
      <c r="P465">
        <f>G465</f>
      </c>
      <c r="Q465" s="125"/>
      <c r="T465">
        <f>B465</f>
      </c>
      <c r="Y465" s="123"/>
      <c r="Z465" s="123"/>
      <c r="AA465" s="123"/>
      <c r="AB465" s="123"/>
      <c r="AC465" s="125"/>
      <c r="AO465">
        <f>K465</f>
      </c>
      <c r="AQ465" s="123">
        <f>AO465/(1+AP465)</f>
      </c>
      <c r="AR465">
        <f>L465</f>
      </c>
    </row>
    <row r="466">
      <c r="A466" t="str">
        <v>国际</v>
      </c>
      <c r="B466" t="str">
        <v>VA</v>
      </c>
      <c r="C466" t="str" xml:space="preserve">
        <v> </v>
      </c>
      <c r="D466" t="str">
        <v>新显示</v>
      </c>
      <c r="E466" t="str">
        <v>英</v>
      </c>
      <c r="F466" t="str">
        <v>陈</v>
      </c>
      <c r="G466" t="str">
        <v>AUN2F4303</v>
      </c>
      <c r="H466">
        <v>20251120</v>
      </c>
      <c r="I466" t="str">
        <v>西北欧区</v>
      </c>
      <c r="J466" t="str">
        <v>英国</v>
      </c>
      <c r="K466" s="126">
        <v>133547.71</v>
      </c>
      <c r="L466" t="str">
        <v>USD</v>
      </c>
      <c r="N466" t="str">
        <v>待确认</v>
      </c>
      <c r="P466">
        <f>G466</f>
      </c>
      <c r="Q466" s="125"/>
      <c r="T466">
        <f>B466</f>
      </c>
      <c r="Y466" s="123"/>
      <c r="Z466" s="123"/>
      <c r="AA466" s="123"/>
      <c r="AB466" s="123"/>
      <c r="AC466" s="125"/>
      <c r="AO466">
        <f>K466</f>
      </c>
      <c r="AQ466" s="123">
        <f>AO466/(1+AP466)</f>
      </c>
      <c r="AR466">
        <f>L466</f>
      </c>
    </row>
    <row r="467">
      <c r="A467" t="str">
        <v>国际</v>
      </c>
      <c r="B467" t="str">
        <v>VA</v>
      </c>
      <c r="C467" t="str" xml:space="preserve">
        <v> </v>
      </c>
      <c r="D467" t="str">
        <v>洲明分销</v>
      </c>
      <c r="E467" t="str">
        <v>印</v>
      </c>
      <c r="F467" t="str">
        <v>何</v>
      </c>
      <c r="G467" t="str">
        <v>AUI2F1740E</v>
      </c>
      <c r="H467">
        <v>20251120</v>
      </c>
      <c r="I467" t="str">
        <v>南亚区</v>
      </c>
      <c r="J467" t="str">
        <v>印度</v>
      </c>
      <c r="K467" s="126">
        <v>21282.81</v>
      </c>
      <c r="L467" t="str">
        <v>USD</v>
      </c>
      <c r="N467" t="str">
        <v>待确认</v>
      </c>
      <c r="P467">
        <f>G467</f>
      </c>
      <c r="Q467" s="125"/>
      <c r="T467">
        <f>B467</f>
      </c>
      <c r="Y467" s="123"/>
      <c r="Z467" s="123"/>
      <c r="AA467" s="123"/>
      <c r="AB467" s="123"/>
      <c r="AC467" s="125"/>
      <c r="AO467">
        <f>K467</f>
      </c>
      <c r="AQ467" s="123">
        <f>AO467/(1+AP467)</f>
      </c>
      <c r="AR467">
        <f>L467</f>
      </c>
    </row>
    <row r="468">
      <c r="A468" t="str">
        <v>国际</v>
      </c>
      <c r="B468" t="str">
        <v>VA</v>
      </c>
      <c r="C468" t="str" xml:space="preserve">
        <v> </v>
      </c>
      <c r="D468" t="str">
        <v>洲明分销</v>
      </c>
      <c r="E468" t="str">
        <v>土</v>
      </c>
      <c r="F468" t="str">
        <v>何</v>
      </c>
      <c r="G468" t="str">
        <v>AUN2F4085A</v>
      </c>
      <c r="H468">
        <v>20251120</v>
      </c>
      <c r="I468" t="str">
        <v>东南欧区</v>
      </c>
      <c r="J468" t="str">
        <v>土耳其</v>
      </c>
      <c r="K468" s="126">
        <v>180630.48</v>
      </c>
      <c r="L468" t="str">
        <v>USD</v>
      </c>
      <c r="N468" t="str">
        <v>待确认</v>
      </c>
      <c r="P468">
        <f>G468</f>
      </c>
      <c r="Q468" s="125"/>
      <c r="T468">
        <f>B468</f>
      </c>
      <c r="Y468" s="123"/>
      <c r="Z468" s="123"/>
      <c r="AA468" s="123"/>
      <c r="AB468" s="123"/>
      <c r="AC468" s="125"/>
      <c r="AO468">
        <f>K468</f>
      </c>
      <c r="AQ468" s="123">
        <f>AO468/(1+AP468)</f>
      </c>
      <c r="AR468">
        <f>L468</f>
      </c>
    </row>
    <row r="469">
      <c r="A469" t="str">
        <v>国际</v>
      </c>
      <c r="B469" t="str">
        <v>VA</v>
      </c>
      <c r="C469" t="str" xml:space="preserve">
        <v> </v>
      </c>
      <c r="D469" t="str">
        <v>洲明分销</v>
      </c>
      <c r="E469" t="str">
        <v>土</v>
      </c>
      <c r="F469" t="str">
        <v>何</v>
      </c>
      <c r="G469" t="str">
        <v>AUN2F4085B</v>
      </c>
      <c r="H469">
        <v>20251120</v>
      </c>
      <c r="I469" t="str">
        <v>东南欧区</v>
      </c>
      <c r="J469" t="str">
        <v>土耳其</v>
      </c>
      <c r="K469" s="126">
        <v>119369.52</v>
      </c>
      <c r="L469" t="str">
        <v>USD</v>
      </c>
      <c r="N469" t="str">
        <v>待确认</v>
      </c>
      <c r="P469">
        <f>G469</f>
      </c>
      <c r="Q469" s="125"/>
      <c r="T469">
        <f>B469</f>
      </c>
      <c r="Y469" s="123"/>
      <c r="Z469" s="123"/>
      <c r="AA469" s="123"/>
      <c r="AB469" s="123"/>
      <c r="AC469" s="125"/>
      <c r="AO469">
        <f>K469</f>
      </c>
      <c r="AQ469" s="123">
        <f>AO469/(1+AP469)</f>
      </c>
      <c r="AR469">
        <f>L469</f>
      </c>
    </row>
    <row r="470">
      <c r="A470" t="str">
        <v>国际</v>
      </c>
      <c r="B470" t="str">
        <v>VA</v>
      </c>
      <c r="C470" t="str" xml:space="preserve">
        <v> </v>
      </c>
      <c r="D470" t="str">
        <v>洲明租赁</v>
      </c>
      <c r="E470" t="str">
        <v>沙</v>
      </c>
      <c r="F470" t="str">
        <v>颜</v>
      </c>
      <c r="G470" t="str">
        <v>AUR2F3806B</v>
      </c>
      <c r="H470">
        <v>20251120</v>
      </c>
      <c r="I470" t="str">
        <v>中东非区</v>
      </c>
      <c r="J470" t="str">
        <v>海湾二区</v>
      </c>
      <c r="K470" s="124">
        <v>68066</v>
      </c>
      <c r="L470" t="str">
        <v>USD</v>
      </c>
      <c r="N470" t="str">
        <v>待确认</v>
      </c>
      <c r="P470">
        <f>G470</f>
      </c>
      <c r="Q470" s="125"/>
      <c r="T470">
        <f>B470</f>
      </c>
      <c r="Y470" s="123"/>
      <c r="Z470" s="123"/>
      <c r="AA470" s="123"/>
      <c r="AB470" s="123"/>
      <c r="AC470" s="125"/>
      <c r="AO470">
        <f>K470</f>
      </c>
      <c r="AQ470" s="123">
        <f>AO470/(1+AP470)</f>
      </c>
      <c r="AR470">
        <f>L470</f>
      </c>
    </row>
    <row r="471">
      <c r="A471" t="str">
        <v>国际</v>
      </c>
      <c r="B471" t="str">
        <v>VA</v>
      </c>
      <c r="C471" t="str" xml:space="preserve">
        <v> </v>
      </c>
      <c r="D471" t="str">
        <v>洲明租赁</v>
      </c>
      <c r="E471" t="str">
        <v>沙</v>
      </c>
      <c r="F471" t="str">
        <v>颜</v>
      </c>
      <c r="G471" t="str">
        <v>AUR2F3806A</v>
      </c>
      <c r="H471">
        <v>20251120</v>
      </c>
      <c r="I471" t="str">
        <v>中东非区</v>
      </c>
      <c r="J471" t="str">
        <v>海湾二区</v>
      </c>
      <c r="K471" s="124">
        <v>68066</v>
      </c>
      <c r="L471" t="str">
        <v>USD</v>
      </c>
      <c r="N471" t="str">
        <v>待确认</v>
      </c>
      <c r="P471">
        <f>G471</f>
      </c>
      <c r="Q471" s="125"/>
      <c r="T471">
        <f>B471</f>
      </c>
      <c r="Y471" s="123"/>
      <c r="Z471" s="123"/>
      <c r="AA471" s="123"/>
      <c r="AB471" s="123"/>
      <c r="AC471" s="125"/>
      <c r="AO471">
        <f>K471</f>
      </c>
      <c r="AQ471" s="123">
        <f>AO471/(1+AP471)</f>
      </c>
      <c r="AR471">
        <f>L471</f>
      </c>
    </row>
    <row r="472">
      <c r="A472" t="str">
        <v>国际</v>
      </c>
      <c r="B472" t="str">
        <v>VA</v>
      </c>
      <c r="C472" t="str" xml:space="preserve">
        <v> </v>
      </c>
      <c r="D472" t="str">
        <v>洲明租赁</v>
      </c>
      <c r="E472" t="str">
        <v>沙</v>
      </c>
      <c r="F472" t="str">
        <v>颜</v>
      </c>
      <c r="G472" t="str">
        <v>AUR2F3806C</v>
      </c>
      <c r="H472">
        <v>20251120</v>
      </c>
      <c r="I472" t="str">
        <v>中东非区</v>
      </c>
      <c r="J472" t="str">
        <v>海湾二区</v>
      </c>
      <c r="K472" s="124">
        <v>68068</v>
      </c>
      <c r="L472" t="str">
        <v>USD</v>
      </c>
      <c r="N472" t="str">
        <v>待确认</v>
      </c>
      <c r="P472">
        <f>G472</f>
      </c>
      <c r="Q472" s="125"/>
      <c r="T472">
        <f>B472</f>
      </c>
      <c r="Y472" s="123"/>
      <c r="Z472" s="123"/>
      <c r="AA472" s="123"/>
      <c r="AB472" s="123"/>
      <c r="AC472" s="125"/>
      <c r="AO472">
        <f>K472</f>
      </c>
      <c r="AQ472" s="123">
        <f>AO472/(1+AP472)</f>
      </c>
      <c r="AR472">
        <f>L472</f>
      </c>
    </row>
  </sheetData>
  <mergeCells>
    <mergeCell ref="A1:L1"/>
    <mergeCell ref="Y1:AB1"/>
  </mergeCells>
  <dataValidations count="2">
    <dataValidation allowBlank="true" errorStyle="stop" showErrorMessage="true" sqref="N2:N472" type="list">
      <formula1>"待确认,确认ok"</formula1>
    </dataValidation>
    <dataValidation allowBlank="true" errorStyle="stop" showErrorMessage="true" sqref="O2:O472" type="list">
      <formula1>"①子客业绩对应不到母子合同,②全融合外子公司与全融合业绩分配,③照明业绩"</formula1>
    </dataValidation>
  </dataValidation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33"/>
    <col collapsed="false" customWidth="true" hidden="false" max="3" min="3" style="0" width="25"/>
    <col collapsed="false" customWidth="true" hidden="false" max="4" min="4" style="0" width="25"/>
    <col collapsed="false" customWidth="true" hidden="false" max="5" min="5" style="0" width="25"/>
    <col collapsed="false" customWidth="true" hidden="false" max="6" min="6" style="0" width="23"/>
    <col collapsed="false" customWidth="true" hidden="false" max="7" min="7" style="0" width="45"/>
    <col collapsed="false" customWidth="true" hidden="false" max="8" min="8" style="0" width="29"/>
    <col collapsed="false" customWidth="true" hidden="false" max="9" min="9" style="0" width="5"/>
    <col collapsed="false" customWidth="true" hidden="false" max="10" min="10" style="0" width="28"/>
    <col collapsed="false" customWidth="true" hidden="false" max="11" min="11" style="0" width="25"/>
    <col collapsed="false" customWidth="true" hidden="false" max="12" min="12" style="0" width="30"/>
    <col collapsed="false" customWidth="true" hidden="false" max="13" min="13" style="0" width="18"/>
    <col collapsed="false" customWidth="true" hidden="false" max="14" min="14" style="0" width="14"/>
    <col collapsed="false" customWidth="true" hidden="false" max="15" min="15" style="0" width="8"/>
    <col collapsed="false" customWidth="true" hidden="false" max="16" min="16" style="0" width="27"/>
    <col collapsed="false" customWidth="true" hidden="false" max="17" min="17" style="0" width="20"/>
    <col collapsed="false" customWidth="true" hidden="false" max="18" min="18" style="0" width="11"/>
    <col collapsed="false" customWidth="true" hidden="false" max="19" min="19" style="0" width="36"/>
    <col collapsed="false" customWidth="true" hidden="false" max="20" min="20" style="0" width="14"/>
  </cols>
  <sheetData>
    <row r="1">
      <c r="A1" s="138" t="str">
        <v>公司</v>
      </c>
      <c r="B1" s="139" t="str">
        <v>角色</v>
      </c>
      <c r="C1" s="138" t="str">
        <v>销售区域</v>
      </c>
      <c r="D1" s="138" t="str">
        <v>销售大区</v>
      </c>
      <c r="E1" s="138" t="str">
        <v>销售战区</v>
      </c>
      <c r="F1" s="138" t="str">
        <v>产品线_研发</v>
      </c>
      <c r="G1" s="138" t="str">
        <v>产品族_研发</v>
      </c>
      <c r="H1" s="138" t="str">
        <v>产品线_业务</v>
      </c>
      <c r="I1" s="139" t="str">
        <v>姓名</v>
      </c>
      <c r="J1" s="139" t="str">
        <v>账号</v>
      </c>
      <c r="K1" s="138" t="str">
        <v>专业</v>
      </c>
      <c r="L1" s="139" t="str">
        <v>对应权限类型</v>
      </c>
      <c r="M1" s="138" t="str">
        <v>是否上报</v>
      </c>
      <c r="N1" s="134"/>
      <c r="O1" s="140" t="str">
        <v>报表模块</v>
      </c>
      <c r="P1" s="140" t="str">
        <v>报表名称</v>
      </c>
      <c r="Q1" s="140" t="str">
        <v>可见角色</v>
      </c>
      <c r="R1" s="140" t="str">
        <v>填报频率</v>
      </c>
      <c r="S1" s="140" t="str">
        <v>上报职责</v>
      </c>
    </row>
    <row r="2">
      <c r="A2" s="137" t="str">
        <v>控制可视公司范围数据</v>
      </c>
      <c r="B2" s="137" t="str">
        <v>控制表单目录可见范围，可视角色划分</v>
      </c>
      <c r="C2" s="137" t="str">
        <v>控制可见的销售区域数据范围</v>
      </c>
      <c r="D2" s="137" t="str">
        <v>控制可见的销售大区数据范围</v>
      </c>
      <c r="E2" s="137" t="str">
        <v>控制可见的销售战区数据范围</v>
      </c>
      <c r="F2" s="137" t="str">
        <v>控制产品线可见的数据范围</v>
      </c>
      <c r="G2" s="137" t="str">
        <v>控制产品族可见的数据范围，与产品线有强关联校验</v>
      </c>
      <c r="H2" s="137" t="str">
        <v>控制下一级产品线可见的数据范围</v>
      </c>
      <c r="I2" s="137"/>
      <c r="J2" s="137" t="str">
        <v>BI账号，目前BI账号和工号一致</v>
      </c>
      <c r="K2" s="137" t="str">
        <v>改成岗位名称，从主数据带入</v>
      </c>
      <c r="L2" s="137" t="s">
        <v>38</v>
      </c>
      <c r="M2" s="137" t="str">
        <v>是否允许该账号上传</v>
      </c>
      <c r="N2" s="134"/>
      <c r="O2" s="135" t="str">
        <v>指标</v>
      </c>
      <c r="P2" s="135" t="str">
        <v>年度目标录入表</v>
      </c>
      <c r="Q2" s="135" t="str">
        <v>所有角色</v>
      </c>
      <c r="R2" s="135" t="str">
        <v>每年、每月</v>
      </c>
      <c r="S2" s="135" t="str">
        <v>战区-大区-区域</v>
      </c>
    </row>
    <row r="3">
      <c r="A3" s="134" t="str">
        <v>全融合</v>
      </c>
      <c r="B3" s="134" t="str">
        <v>总部角色</v>
      </c>
      <c r="C3" s="134"/>
      <c r="D3" s="134"/>
      <c r="E3" s="134"/>
      <c r="F3" s="134"/>
      <c r="G3" s="134" t="str">
        <v>创意固装、户外固装、户内固装、UTV</v>
      </c>
      <c r="H3" s="134" t="str">
        <v>大固装</v>
      </c>
      <c r="I3" s="135" t="str">
        <v>A</v>
      </c>
      <c r="J3" s="134"/>
      <c r="K3" s="134" t="str">
        <v>商务</v>
      </c>
      <c r="L3" s="134"/>
      <c r="M3" s="134"/>
      <c r="N3" s="134"/>
      <c r="O3" s="135" t="str">
        <v>指标</v>
      </c>
      <c r="P3" s="135" t="str">
        <v>年度保底目标录入表</v>
      </c>
      <c r="Q3" s="135" t="str">
        <v>所有角色</v>
      </c>
      <c r="R3" s="135" t="str">
        <v>每月</v>
      </c>
      <c r="S3" s="135" t="str">
        <v>战区-大区-区域</v>
      </c>
    </row>
    <row r="4">
      <c r="A4" s="134" t="str">
        <v>全融合</v>
      </c>
      <c r="B4" s="134" t="str">
        <v>大区角色</v>
      </c>
      <c r="C4" s="135" t="str">
        <v>国内</v>
      </c>
      <c r="D4" s="135" t="str">
        <v>华北</v>
      </c>
      <c r="E4" s="134"/>
      <c r="F4" s="134"/>
      <c r="G4" s="135" t="str">
        <v>固装分销、模组及整机、租赁分销</v>
      </c>
      <c r="H4" s="136" t="str">
        <v>创意文创</v>
      </c>
      <c r="I4" s="134" t="str">
        <v>B</v>
      </c>
      <c r="J4" s="134"/>
      <c r="K4" s="134" t="str">
        <v>商务</v>
      </c>
      <c r="L4" s="134"/>
      <c r="M4" s="134"/>
      <c r="N4" s="134"/>
      <c r="O4" s="135" t="str">
        <v>指标</v>
      </c>
      <c r="P4" s="135" t="str">
        <v>季度收入预估补录表</v>
      </c>
      <c r="Q4" s="135" t="str">
        <v>总部角色</v>
      </c>
      <c r="R4" s="135" t="str">
        <v>每月</v>
      </c>
      <c r="S4" s="135" t="str">
        <v>销服录入，录入完毕则自行锁定，</v>
      </c>
    </row>
    <row r="5">
      <c r="A5" s="134" t="str">
        <v>全融合</v>
      </c>
      <c r="B5" s="134" t="str">
        <v>战区角色</v>
      </c>
      <c r="C5" s="135"/>
      <c r="D5" s="135"/>
      <c r="E5" s="134"/>
      <c r="F5" s="134"/>
      <c r="G5" s="135" t="str">
        <v>专业租赁、常规租赁、创意租赁</v>
      </c>
      <c r="H5" s="134" t="str">
        <v>洲明租赁</v>
      </c>
      <c r="I5" s="135" t="str">
        <v>C</v>
      </c>
      <c r="J5" s="134"/>
      <c r="K5" s="134" t="str">
        <v>商务</v>
      </c>
      <c r="L5" s="134"/>
      <c r="M5" s="134"/>
      <c r="N5" s="134"/>
      <c r="O5" s="135" t="str">
        <v>指标</v>
      </c>
      <c r="P5" s="135" t="str">
        <v>周计划录入表</v>
      </c>
      <c r="Q5" s="135" t="str">
        <v>所有角色</v>
      </c>
      <c r="R5" s="135" t="str">
        <v>每周</v>
      </c>
      <c r="S5" s="135" t="str">
        <v>国内、国际自行填写，颗粒度比目标数据粗</v>
      </c>
    </row>
    <row r="6">
      <c r="A6" s="134" t="str">
        <v>全融合</v>
      </c>
      <c r="B6" s="141" t="s">
        <v>41</v>
      </c>
      <c r="C6" s="135"/>
      <c r="D6" s="135"/>
      <c r="E6" s="134"/>
      <c r="F6" s="134"/>
      <c r="G6" s="134" t="str">
        <v>软件、自研控制系统、外设、自研拼控</v>
      </c>
      <c r="H6" s="134" t="str">
        <v>洲明分销</v>
      </c>
      <c r="I6" s="134" t="str">
        <v>D</v>
      </c>
      <c r="J6" s="134"/>
      <c r="K6" s="134" t="str">
        <v>销服运营</v>
      </c>
      <c r="L6" s="134"/>
      <c r="M6" s="134"/>
      <c r="N6" s="134"/>
      <c r="O6" s="135" t="str">
        <v>指标</v>
      </c>
      <c r="P6" s="135" t="str">
        <v>手工业绩录入表</v>
      </c>
      <c r="Q6" s="135" t="str">
        <v>所有角色、专业**可填</v>
      </c>
      <c r="R6" s="135" t="str">
        <v>每月</v>
      </c>
      <c r="S6" s="135" t="str">
        <v>审批路径？</v>
      </c>
    </row>
    <row r="7">
      <c r="A7" s="134" t="str">
        <v>全融合</v>
      </c>
      <c r="B7" s="141" t="s">
        <v>40</v>
      </c>
      <c r="C7" s="135"/>
      <c r="D7" s="135"/>
      <c r="E7" s="134"/>
      <c r="F7" s="134"/>
      <c r="G7" s="142" t="str">
        <v>洲明维保服务、模组返修包服务、第三方屏维保、现场服务、返修服务、活动保障、校正服务、指导服务、镀膜服务、培训服务、驻场运维服务、工程设计、工程安装</v>
      </c>
      <c r="H7" s="134" t="str">
        <v>蓝普国内</v>
      </c>
      <c r="I7" s="135" t="str">
        <v>E</v>
      </c>
      <c r="J7" s="134"/>
      <c r="K7" s="134" t="str">
        <v>销服运营</v>
      </c>
      <c r="L7" s="134"/>
      <c r="M7" s="134"/>
      <c r="N7" s="134"/>
      <c r="O7" s="135" t="str">
        <v>指标</v>
      </c>
      <c r="P7" s="135" t="str">
        <v>集团周报</v>
      </c>
      <c r="Q7" s="135" t="str">
        <v>总部角色</v>
      </c>
      <c r="R7" s="134"/>
      <c r="S7" s="134"/>
    </row>
    <row r="8">
      <c r="A8" s="134" t="str">
        <v>全融合</v>
      </c>
      <c r="B8" s="141" t="s">
        <v>39</v>
      </c>
      <c r="C8" s="135"/>
      <c r="D8" s="135"/>
      <c r="E8" s="134"/>
      <c r="F8" s="134"/>
      <c r="G8" s="134"/>
      <c r="H8" s="134" t="str">
        <v>解决方案</v>
      </c>
      <c r="I8" s="134" t="str">
        <v>F</v>
      </c>
      <c r="J8" s="134"/>
      <c r="K8" s="134" t="str">
        <v>运营运营</v>
      </c>
      <c r="L8" s="134"/>
      <c r="M8" s="134"/>
      <c r="N8" s="134"/>
      <c r="O8" s="135" t="str">
        <v>指标</v>
      </c>
      <c r="P8" s="135" t="str">
        <v>年度目标滚动计算展示表</v>
      </c>
      <c r="Q8" s="135" t="str">
        <v>所有角色</v>
      </c>
      <c r="R8" s="134"/>
      <c r="S8" s="134"/>
    </row>
    <row r="9">
      <c r="A9" s="134" t="str">
        <v>全融合</v>
      </c>
      <c r="B9" s="134" t="str">
        <v>总部角色</v>
      </c>
      <c r="C9" s="135"/>
      <c r="D9" s="135"/>
      <c r="E9" s="134"/>
      <c r="F9" s="134"/>
      <c r="G9" s="134"/>
      <c r="H9" s="134" t="str">
        <v>照明</v>
      </c>
      <c r="I9" s="135" t="str">
        <v>G</v>
      </c>
      <c r="J9" s="134"/>
      <c r="K9" s="134" t="str">
        <v>财务</v>
      </c>
      <c r="L9" s="134"/>
      <c r="M9" s="134"/>
      <c r="N9" s="134"/>
      <c r="O9" s="135" t="str">
        <v>指标</v>
      </c>
      <c r="P9" s="135" t="str">
        <v>子公司目标数据录入表</v>
      </c>
      <c r="Q9" s="135" t="str">
        <v>子公司角色，总部角色</v>
      </c>
      <c r="R9" s="135" t="str">
        <v>每周</v>
      </c>
      <c r="S9" s="135" t="str">
        <v>子公司-集团</v>
      </c>
    </row>
    <row r="10">
      <c r="A10" s="134" t="str">
        <v>全融合</v>
      </c>
      <c r="B10" s="134" t="str">
        <v>大区角色</v>
      </c>
      <c r="C10" s="135"/>
      <c r="D10" s="135"/>
      <c r="E10" s="134"/>
      <c r="F10" s="134"/>
      <c r="G10" s="134"/>
      <c r="H10" s="134" t="str">
        <v>洲明分销（含UTV）</v>
      </c>
      <c r="I10" s="134" t="str">
        <v>H</v>
      </c>
      <c r="J10" s="134"/>
      <c r="K10" s="134" t="str">
        <v>财务</v>
      </c>
      <c r="L10" s="134"/>
      <c r="M10" s="134"/>
      <c r="N10" s="134"/>
      <c r="O10" s="135" t="str">
        <v>指标</v>
      </c>
      <c r="P10" s="135" t="str">
        <v>子公司实际数据补录表</v>
      </c>
      <c r="Q10" s="135" t="str">
        <v>子公司角色，总部角色</v>
      </c>
      <c r="R10" s="135" t="str">
        <v>每周</v>
      </c>
      <c r="S10" s="135" t="str">
        <v>子公司-集团</v>
      </c>
    </row>
    <row r="11">
      <c r="A11" s="134" t="str">
        <v>全融合</v>
      </c>
      <c r="B11" s="134" t="str">
        <v>战区角色</v>
      </c>
      <c r="C11" s="135"/>
      <c r="D11" s="135"/>
      <c r="E11" s="134"/>
      <c r="F11" s="134"/>
      <c r="G11" s="134"/>
      <c r="H11" s="134" t="str">
        <v>蓝普工程</v>
      </c>
      <c r="I11" s="135" t="str">
        <v>I</v>
      </c>
      <c r="J11" s="134"/>
      <c r="K11" s="134" t="str">
        <v>财务</v>
      </c>
      <c r="L11" s="134"/>
      <c r="M11" s="134"/>
      <c r="N11" s="134"/>
      <c r="O11" s="135" t="str">
        <v>基准价</v>
      </c>
      <c r="P11" s="135" t="str">
        <v>制费率基线填报表</v>
      </c>
      <c r="Q11" s="135" t="str">
        <v>制造FIBP</v>
      </c>
      <c r="R11" s="135" t="str">
        <v>每月/每季度</v>
      </c>
      <c r="S11" s="135"/>
    </row>
    <row r="12">
      <c r="A12" s="134" t="str">
        <v>全融合</v>
      </c>
      <c r="B12" s="134" t="str">
        <v>总部角色</v>
      </c>
      <c r="C12" s="135"/>
      <c r="D12" s="135"/>
      <c r="E12" s="134"/>
      <c r="F12" s="134"/>
      <c r="G12" s="134"/>
      <c r="H12" s="134" t="str">
        <v>蓝普租赁</v>
      </c>
      <c r="I12" s="134" t="str">
        <v>J</v>
      </c>
      <c r="J12" s="134"/>
      <c r="K12" s="135" t="str">
        <v>研发</v>
      </c>
      <c r="L12" s="134"/>
      <c r="M12" s="134"/>
      <c r="N12" s="134"/>
      <c r="O12" s="135" t="str">
        <v>基准价</v>
      </c>
      <c r="P12" s="135" t="str">
        <v>工厂供货比例填报表</v>
      </c>
      <c r="Q12" s="135" t="str">
        <v>计划工程师</v>
      </c>
      <c r="R12" s="135" t="str">
        <v>每月</v>
      </c>
      <c r="S12" s="134"/>
    </row>
    <row r="13">
      <c r="A13" s="134" t="str">
        <v>全融合</v>
      </c>
      <c r="B13" s="134" t="str">
        <v>总部角色</v>
      </c>
      <c r="C13" s="135"/>
      <c r="D13" s="134"/>
      <c r="E13" s="134"/>
      <c r="F13" s="134" t="str">
        <v>固装</v>
      </c>
      <c r="G13" s="134"/>
      <c r="H13" s="134" t="str">
        <v>蓝普分销</v>
      </c>
      <c r="I13" s="135" t="str">
        <v>K</v>
      </c>
      <c r="J13" s="134"/>
      <c r="K13" s="135" t="str">
        <v>研发</v>
      </c>
      <c r="L13" s="134"/>
      <c r="M13" s="134"/>
      <c r="N13" s="134"/>
      <c r="O13" s="135" t="str">
        <v>基准价</v>
      </c>
      <c r="P13" s="135" t="str">
        <v>制费率填报表</v>
      </c>
      <c r="Q13" s="135" t="str">
        <v>成本工程师</v>
      </c>
      <c r="R13" s="135" t="str">
        <v>每月/每季度</v>
      </c>
      <c r="S13" s="135"/>
    </row>
    <row r="14">
      <c r="A14" s="134" t="str">
        <v>全融合</v>
      </c>
      <c r="B14" s="134" t="str">
        <v>总部角色</v>
      </c>
      <c r="C14" s="135"/>
      <c r="D14" s="134"/>
      <c r="E14" s="134"/>
      <c r="F14" s="134" t="str">
        <v>租赁</v>
      </c>
      <c r="G14" s="135"/>
      <c r="H14" s="135"/>
      <c r="I14" s="134" t="str">
        <v>L</v>
      </c>
      <c r="J14" s="134"/>
      <c r="K14" s="135" t="str">
        <v>研发</v>
      </c>
      <c r="L14" s="134"/>
      <c r="M14" s="134"/>
      <c r="N14" s="134"/>
      <c r="O14" s="135" t="str">
        <v>基准价</v>
      </c>
      <c r="P14" s="135" t="str">
        <v>分销模组-制费填报表</v>
      </c>
      <c r="Q14" s="135" t="str">
        <v>分销生产线成本工程师</v>
      </c>
      <c r="R14" s="135" t="str">
        <v>每月/每季度</v>
      </c>
      <c r="S14" s="135"/>
    </row>
    <row r="15">
      <c r="A15" s="134" t="str">
        <v>全融合</v>
      </c>
      <c r="B15" s="134" t="str">
        <v>总部角色</v>
      </c>
      <c r="C15" s="135"/>
      <c r="D15" s="134"/>
      <c r="E15" s="134"/>
      <c r="F15" s="134" t="str">
        <v>分销</v>
      </c>
      <c r="G15" s="134"/>
      <c r="H15" s="134"/>
      <c r="I15" s="135" t="str">
        <v>M</v>
      </c>
      <c r="J15" s="134"/>
      <c r="K15" s="135" t="str">
        <v>研发</v>
      </c>
      <c r="L15" s="134"/>
      <c r="M15" s="134"/>
      <c r="N15" s="134"/>
      <c r="O15" s="135" t="str">
        <v>基准价</v>
      </c>
      <c r="P15" s="135" t="str">
        <v>损耗率及委外成本填报表</v>
      </c>
      <c r="Q15" s="135" t="str">
        <v>成本工程师</v>
      </c>
      <c r="R15" s="135" t="str">
        <v>每月/每季度</v>
      </c>
      <c r="S15" s="134"/>
    </row>
    <row r="16">
      <c r="A16" s="135" t="str">
        <v>雷迪奥</v>
      </c>
      <c r="B16" s="135" t="str">
        <v>子公司角色</v>
      </c>
      <c r="C16" s="135"/>
      <c r="D16" s="135"/>
      <c r="E16" s="134"/>
      <c r="F16" s="135"/>
      <c r="G16" s="134"/>
      <c r="H16" s="134"/>
      <c r="I16" s="135" t="str">
        <v>N</v>
      </c>
      <c r="J16" s="135" t="str">
        <v>U00089</v>
      </c>
      <c r="K16" s="135" t="str">
        <v>财务</v>
      </c>
      <c r="L16" s="134"/>
      <c r="M16" s="134"/>
      <c r="N16" s="134"/>
      <c r="O16" s="135" t="str">
        <v>基准价</v>
      </c>
      <c r="P16" s="135" t="str">
        <v>基准价调整值填报表</v>
      </c>
      <c r="Q16" s="135" t="str">
        <v>成本工程师</v>
      </c>
      <c r="R16" s="135" t="str">
        <v>每月/每季度</v>
      </c>
      <c r="S16" s="134"/>
    </row>
    <row r="17">
      <c r="A17" s="135" t="str">
        <v>爱加</v>
      </c>
      <c r="B17" s="135" t="str">
        <v>子公司角色</v>
      </c>
      <c r="C17" s="134"/>
      <c r="D17" s="134"/>
      <c r="E17" s="134"/>
      <c r="F17" s="134"/>
      <c r="G17" s="134"/>
      <c r="H17" s="134"/>
      <c r="I17" s="135" t="str">
        <v>O</v>
      </c>
      <c r="J17" s="134"/>
      <c r="K17" s="134" t="str">
        <v>初级产品经理</v>
      </c>
      <c r="L17" s="134"/>
      <c r="M17" s="134"/>
      <c r="N17" s="134"/>
      <c r="O17" s="135" t="str">
        <v>基准价</v>
      </c>
      <c r="P17" s="135" t="str">
        <v>产品最高测算成本查看表</v>
      </c>
      <c r="Q17" s="135" t="str">
        <v>成本工程师</v>
      </c>
      <c r="R17" s="135" t="str">
        <v>每月/每季度</v>
      </c>
      <c r="S17" s="134"/>
    </row>
    <row r="18">
      <c r="A18" s="135" t="str">
        <v>柏年</v>
      </c>
      <c r="B18" s="135" t="str">
        <v>子公司角色</v>
      </c>
      <c r="C18" s="134"/>
      <c r="D18" s="134"/>
      <c r="E18" s="134"/>
      <c r="F18" s="134"/>
      <c r="G18" s="134"/>
      <c r="H18" s="134"/>
      <c r="I18" s="135" t="str">
        <v>P</v>
      </c>
      <c r="J18" s="134"/>
      <c r="K18" s="134" t="str">
        <v>制造FIBP</v>
      </c>
      <c r="L18" s="134"/>
      <c r="M18" s="134"/>
      <c r="N18" s="134"/>
      <c r="O18" s="135" t="str">
        <v>基准价</v>
      </c>
      <c r="P18" s="135" t="str">
        <v>产品测算成本查看表</v>
      </c>
      <c r="Q18" s="135" t="str">
        <v>成本工程师</v>
      </c>
      <c r="R18" s="135" t="str">
        <v>每月/每季度</v>
      </c>
      <c r="S18" s="134"/>
    </row>
    <row r="19">
      <c r="A19" s="135" t="str">
        <v>康利</v>
      </c>
      <c r="B19" s="135" t="str">
        <v>子公司角色</v>
      </c>
      <c r="C19" s="134"/>
      <c r="D19" s="134"/>
      <c r="E19" s="134"/>
      <c r="F19" s="134"/>
      <c r="G19" s="134"/>
      <c r="H19" s="134"/>
      <c r="I19" s="134"/>
      <c r="J19" s="134"/>
      <c r="K19" s="134" t="str">
        <v>产品线FIBP</v>
      </c>
      <c r="L19" s="134"/>
      <c r="M19" s="134"/>
      <c r="N19" s="134"/>
      <c r="O19" s="135" t="str">
        <v>基准价</v>
      </c>
      <c r="P19" s="135" t="str">
        <v>产品明细成本查看表</v>
      </c>
      <c r="Q19" s="135" t="str">
        <v>成本工程师</v>
      </c>
      <c r="R19" s="135" t="str">
        <v>每月/每季度</v>
      </c>
      <c r="S19" s="134"/>
    </row>
    <row r="20">
      <c r="A20" s="134"/>
      <c r="B20" s="134"/>
      <c r="C20" s="134"/>
      <c r="D20" s="134"/>
      <c r="E20" s="134"/>
      <c r="F20" s="134"/>
      <c r="G20" s="134"/>
      <c r="H20" s="134"/>
      <c r="I20" s="134"/>
      <c r="J20" s="134"/>
      <c r="K20" s="134" t="str">
        <v>成本专业经理</v>
      </c>
      <c r="L20" s="134"/>
      <c r="M20" s="134"/>
      <c r="N20" s="134"/>
      <c r="O20" s="135" t="str">
        <v>基准价</v>
      </c>
      <c r="P20" s="135" t="str">
        <v>工程服务价格填报表</v>
      </c>
      <c r="Q20" s="135" t="str">
        <v>GTS工程师</v>
      </c>
      <c r="R20" s="135" t="str">
        <v>每月/每季度</v>
      </c>
      <c r="S20" s="134"/>
    </row>
    <row r="21">
      <c r="A21" s="134"/>
      <c r="B21" s="134"/>
      <c r="C21" s="134"/>
      <c r="D21" s="134"/>
      <c r="E21" s="134"/>
      <c r="F21" s="134"/>
      <c r="G21" s="134"/>
      <c r="H21" s="134"/>
      <c r="I21" s="134"/>
      <c r="J21" s="134"/>
      <c r="K21" s="135" t="str">
        <v>总监</v>
      </c>
      <c r="L21" s="134"/>
      <c r="M21" s="134"/>
      <c r="N21" s="134"/>
      <c r="O21" s="135" t="str">
        <v>基准价</v>
      </c>
      <c r="P21" s="135" t="str">
        <v>分摊费用比例填报表</v>
      </c>
      <c r="Q21" s="135" t="str">
        <v>FIBP</v>
      </c>
      <c r="R21" s="135" t="str">
        <v>每月/每季度</v>
      </c>
      <c r="S21" s="134"/>
    </row>
    <row r="22">
      <c r="A22" s="134"/>
      <c r="B22" s="134"/>
      <c r="C22" s="134"/>
      <c r="D22" s="134"/>
      <c r="E22" s="134"/>
      <c r="F22" s="134"/>
      <c r="G22" s="134"/>
      <c r="H22" s="134"/>
      <c r="I22" s="134"/>
      <c r="J22" s="134"/>
      <c r="K22" s="134" t="str">
        <v>初级产品经理</v>
      </c>
      <c r="L22" s="134"/>
      <c r="M22" s="134"/>
      <c r="N22" s="134"/>
      <c r="O22" s="135" t="str">
        <v>基准价</v>
      </c>
      <c r="P22" s="135" t="str">
        <v>价格系数与额外质保比例填报表</v>
      </c>
      <c r="Q22" s="135" t="str">
        <v>商设工程师</v>
      </c>
      <c r="R22" s="135" t="str">
        <v>每月/每季度</v>
      </c>
      <c r="S22" s="134"/>
    </row>
    <row r="23">
      <c r="A23" s="134"/>
      <c r="B23" s="134"/>
      <c r="C23" s="134"/>
      <c r="D23" s="134"/>
      <c r="E23" s="134"/>
      <c r="F23" s="134"/>
      <c r="G23" s="134"/>
      <c r="H23" s="134"/>
      <c r="I23" s="134"/>
      <c r="J23" s="134"/>
      <c r="K23" s="134" t="str">
        <v>售后服务</v>
      </c>
      <c r="L23" s="134"/>
      <c r="M23" s="134"/>
      <c r="N23" s="134"/>
      <c r="O23" s="135" t="str">
        <v>基准价</v>
      </c>
      <c r="P23" s="135" t="str">
        <v>Sparts市场价与系数填报表</v>
      </c>
      <c r="Q23" s="135" t="str">
        <v>商设工程师</v>
      </c>
      <c r="R23" s="135" t="str">
        <v>每月/每季度</v>
      </c>
    </row>
    <row r="24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</row>
    <row r="25">
      <c r="A25" s="134"/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</row>
    <row r="26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</row>
    <row r="28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</row>
    <row r="29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</row>
    <row r="30">
      <c r="A30" s="134"/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</row>
    <row r="31">
      <c r="A31" s="134"/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</row>
    <row r="32">
      <c r="A32" s="134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</row>
    <row r="33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</row>
    <row r="34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</row>
    <row r="35">
      <c r="A35" s="134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</row>
    <row r="36">
      <c r="A36" s="134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</row>
    <row r="37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</row>
    <row r="38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</row>
    <row r="39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</row>
    <row r="40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</row>
    <row r="41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</row>
    <row r="42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</row>
    <row r="43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</row>
    <row r="44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</row>
    <row r="45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</row>
    <row r="46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</row>
    <row r="47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</row>
    <row r="48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</row>
    <row r="49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</row>
    <row r="50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</row>
    <row r="51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</row>
    <row r="52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</row>
    <row r="53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</row>
    <row r="54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</row>
    <row r="55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</row>
    <row r="56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</row>
    <row r="57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</row>
    <row r="58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</row>
    <row r="59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</row>
    <row r="60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</row>
    <row r="61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</row>
    <row r="62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</row>
  </sheetData>
  <hyperlinks>
    <hyperlink ref="B8" display="战区角色" r:id="rId1"/>
    <hyperlink ref="B7" display="大区角色" r:id="rId2"/>
    <hyperlink ref="B6" display="总部角色" r:id="rId3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