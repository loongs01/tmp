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<sst xmlns="http://schemas.openxmlformats.org/spreadsheetml/2006/main" count="254" uniqueCount="88">
  <si>
    <t>价格区间（一个量级一个区间）</t>
  </si>
  <si>
    <t>下限（万）</t>
  </si>
  <si>
    <t>上限（万）</t>
  </si>
  <si>
    <t>价格区间（万）</t>
  </si>
  <si>
    <t>举例</t>
  </si>
  <si>
    <t>0～5；5～10</t>
  </si>
  <si>
    <t>11～20；20～30……</t>
  </si>
  <si>
    <t>101～150；150～200……</t>
  </si>
  <si>
    <t>1001～1100；1100～1200……</t>
  </si>
  <si>
    <t>APS推送的备货信息</t>
  </si>
  <si>
    <t>类别</t>
  </si>
  <si>
    <t>单号</t>
  </si>
  <si>
    <t>产品编码</t>
  </si>
  <si>
    <t>产品线分类</t>
  </si>
  <si>
    <t>面积/数量</t>
  </si>
  <si>
    <t>物料编码</t>
  </si>
  <si>
    <t>数量</t>
  </si>
  <si>
    <t>成品备货</t>
  </si>
  <si>
    <t>000001</t>
  </si>
  <si>
    <t>产品A</t>
  </si>
  <si>
    <t>渠道</t>
  </si>
  <si>
    <t>000002</t>
  </si>
  <si>
    <t>产品B</t>
  </si>
  <si>
    <t>000003</t>
  </si>
  <si>
    <t>产品C</t>
  </si>
  <si>
    <t>非渠道</t>
  </si>
  <si>
    <t>材料备货</t>
  </si>
  <si>
    <t>000004</t>
  </si>
  <si>
    <t>a</t>
  </si>
  <si>
    <t>b</t>
  </si>
  <si>
    <t>c</t>
  </si>
  <si>
    <t>000005</t>
  </si>
  <si>
    <t>d</t>
  </si>
  <si>
    <t>e</t>
  </si>
  <si>
    <t>f</t>
  </si>
  <si>
    <t>成品库存</t>
  </si>
  <si>
    <t>KC01</t>
  </si>
  <si>
    <t>KC02</t>
  </si>
  <si>
    <t>材料库存</t>
  </si>
  <si>
    <t>KC03</t>
  </si>
  <si>
    <t>KC04</t>
  </si>
  <si>
    <t>KC05</t>
  </si>
  <si>
    <t>KC06</t>
  </si>
  <si>
    <t>数据中台产品单位价格信息</t>
  </si>
  <si>
    <t>单位基准价</t>
  </si>
  <si>
    <t>数据中台物料单位价格信息</t>
  </si>
  <si>
    <t>最高价</t>
  </si>
  <si>
    <t>数据中台设定的产品线类别金额基线</t>
  </si>
  <si>
    <t>产品线类别</t>
  </si>
  <si>
    <t>基线</t>
  </si>
  <si>
    <t>总量</t>
  </si>
  <si>
    <t>数据中台价格计算</t>
  </si>
  <si>
    <t>金额</t>
  </si>
  <si>
    <t>金额区间</t>
  </si>
  <si>
    <t>规则：</t>
  </si>
  <si>
    <t>550～600</t>
  </si>
  <si>
    <t>①金额计算，如果类别是成品备库或成品库存，金额=【面积/数量】*单位基准价；如果是材料备货或材料库存，金额=【数量】*材料最高价，然后按单号合计。</t>
  </si>
  <si>
    <t>600～650</t>
  </si>
  <si>
    <t>②金额区间，根据①计算出来的金额数值匹配价格区间。</t>
  </si>
  <si>
    <t>1400～1500</t>
  </si>
  <si>
    <t>350～400</t>
  </si>
  <si>
    <t>450～500</t>
  </si>
  <si>
    <t>250～300</t>
  </si>
  <si>
    <t>300～350</t>
  </si>
  <si>
    <t>101～150</t>
  </si>
  <si>
    <t>90～100</t>
  </si>
  <si>
    <t>回传给APS的明细金额区间</t>
  </si>
  <si>
    <t>回传给APS的汇总金额区间</t>
  </si>
  <si>
    <t>金额合计</t>
  </si>
  <si>
    <t>超基线金额</t>
  </si>
  <si>
    <t>渠道材料合计</t>
  </si>
  <si>
    <t>700～750</t>
  </si>
  <si>
    <t>非渠道材料合计</t>
  </si>
  <si>
    <t>材料金额合计</t>
  </si>
  <si>
    <t>1300～1400</t>
  </si>
  <si>
    <t>渠道合计</t>
  </si>
  <si>
    <t>2500～2600</t>
  </si>
  <si>
    <t>非渠道合计</t>
  </si>
  <si>
    <t>2100～2200</t>
  </si>
  <si>
    <t>合计</t>
  </si>
  <si>
    <t>4600～4700</t>
  </si>
  <si>
    <t>渠道材料合计：合计产品线分类等于渠道的材料备货和材料库存的金额，然后匹配价格区间</t>
  </si>
  <si>
    <t>非渠道材料合计：合计产品线分类等于非渠道的材料备货和材料库存的金额，然后匹配价格区间</t>
  </si>
  <si>
    <t>材料金额合计：合计渠道和非渠道的材料金额，然后匹配价格区间</t>
  </si>
  <si>
    <t>渠道合计：合计产品线分类等于渠道的金额，然后匹配价格区间。并根据设定的基线计算超基线金额。</t>
  </si>
  <si>
    <t>非渠道合计：合计产品线分类等于非渠道的金额，然后匹配价格区间</t>
  </si>
  <si>
    <t>按类别、单号、价格区间回传</t>
  </si>
  <si>
    <t>合计：合计渠道和非渠道的总金额，然后匹配价格区间。并根据设定的基线计算超基线金额。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</si>
</sst>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4" borderId="8">
      <alignment vertical="center"/>
    </xf>
    <xf numFmtId="0" fontId="12" fillId="5" borderId="9">
      <alignment vertical="center"/>
    </xf>
    <xf numFmtId="0" fontId="13" fillId="5" borderId="8">
      <alignment vertical="center"/>
    </xf>
    <xf numFmtId="0" fontId="14" fillId="6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Fill="1" applyBorder="1" applyAlignment="1"/>
    <xf numFmtId="0" fontId="0" fillId="0" borderId="1" xfId="0" applyFont="1" applyFill="1" applyBorder="1" applyAlignment="1">
      <alignment horizontal="left"/>
    </xf>
    <xf numFmtId="0" fontId="0" fillId="2" borderId="1" xfId="0" applyFill="1" applyBorder="1" applyAlignment="1"/>
    <xf numFmtId="0" fontId="2" fillId="2" borderId="1" xfId="0" applyFont="1" applyFill="1" applyBorder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300355</xdr:colOff>
      <xdr:row>65</xdr:row>
      <xdr:rowOff>43180</xdr:rowOff>
    </xdr:from>
    <xdr:to>
      <xdr:col>2</xdr:col>
      <xdr:colOff>209550</xdr:colOff>
      <xdr:row>69</xdr:row>
      <xdr:rowOff>24130</xdr:rowOff>
    </xdr:to>
    <xdr:sp>
      <xdr:nvSpPr>
        <xdr:cNvPr id="2" name="下箭头 1"/>
        <xdr:cNvSpPr/>
      </xdr:nvSpPr>
      <xdr:spPr>
        <a:xfrm>
          <a:off x="1115060" y="11358880"/>
          <a:ext cx="662305" cy="666750"/>
        </a:xfrm>
        <a:prstGeom prst="downArrow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整理</a:t>
          </a:r>
          <a:endParaRPr lang="zh-CN" altLang="en-US" sz="1100"/>
        </a:p>
      </xdr:txBody>
    </xdr:sp>
    <xdr:clientData/>
  </xdr:twoCellAnchor>
  <xdr:twoCellAnchor>
    <xdr:from>
      <xdr:col>9</xdr:col>
      <xdr:colOff>162877</xdr:colOff>
      <xdr:row>63</xdr:row>
      <xdr:rowOff>74612</xdr:rowOff>
    </xdr:from>
    <xdr:to>
      <xdr:col>9</xdr:col>
      <xdr:colOff>921702</xdr:colOff>
      <xdr:row>68</xdr:row>
      <xdr:rowOff>36512</xdr:rowOff>
    </xdr:to>
    <xdr:sp>
      <xdr:nvSpPr>
        <xdr:cNvPr id="3" name="圆角右箭头 2"/>
        <xdr:cNvSpPr/>
      </xdr:nvSpPr>
      <xdr:spPr>
        <a:xfrm rot="5400000">
          <a:off x="6804660" y="11076940"/>
          <a:ext cx="819150" cy="758825"/>
        </a:xfrm>
        <a:prstGeom prst="bentArrow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181610</xdr:colOff>
      <xdr:row>63</xdr:row>
      <xdr:rowOff>33655</xdr:rowOff>
    </xdr:from>
    <xdr:to>
      <xdr:col>9</xdr:col>
      <xdr:colOff>647700</xdr:colOff>
      <xdr:row>64</xdr:row>
      <xdr:rowOff>137795</xdr:rowOff>
    </xdr:to>
    <xdr:sp>
      <xdr:nvSpPr>
        <xdr:cNvPr id="4" name="矩形 3"/>
        <xdr:cNvSpPr/>
      </xdr:nvSpPr>
      <xdr:spPr>
        <a:xfrm>
          <a:off x="6854190" y="11006455"/>
          <a:ext cx="466090" cy="275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整理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85"/>
  <sheetViews>
    <sheetView tabSelected="1" workbookViewId="0">
      <selection activeCell="K17" sqref="K17"/>
    </sheetView>
  </sheetViews>
  <sheetFormatPr defaultColWidth="9.02654867256637" defaultRowHeight="13.5"/>
  <cols>
    <col min="1" max="1" width="11.353982300885" style="1" customWidth="1"/>
    <col min="2" max="2" width="10.4955752212389" style="1" customWidth="1"/>
    <col min="3" max="3" width="11.353982300885" style="1" customWidth="1"/>
    <col min="4" max="4" width="10.7610619469027" style="1" customWidth="1"/>
    <col min="5" max="7" width="9.02654867256637" style="1"/>
    <col min="8" max="8" width="10.5929203539823" style="1" customWidth="1"/>
    <col min="9" max="9" width="11.353982300885" style="1" customWidth="1"/>
    <col min="10" max="10" width="15.6283185840708" style="1" customWidth="1"/>
    <col min="11" max="11" width="9.02654867256637" style="1"/>
    <col min="12" max="12" width="11.6548672566372" style="1" customWidth="1"/>
    <col min="13" max="13" width="11.3097345132743" style="1" customWidth="1"/>
    <col min="14" max="16384" width="9.02654867256637" style="1"/>
  </cols>
  <sheetData>
    <row r="3" s="1" customFormat="1" spans="1:8">
      <c r="A3" s="1" t="s">
        <v>0</v>
      </c>
    </row>
    <row r="4" s="1" customFormat="1" ht="27" spans="1:8">
      <c r="A4" s="2" t="s">
        <v>1</v>
      </c>
      <c r="B4" s="2" t="s">
        <v>2</v>
      </c>
      <c r="C4" s="2" t="s">
        <v>3</v>
      </c>
      <c r="D4" s="3" t="s">
        <v>4</v>
      </c>
      <c r="E4" s="3"/>
      <c r="F4" s="3"/>
      <c r="G4" s="3"/>
      <c r="H4" s="3"/>
    </row>
    <row r="5" s="1" customFormat="1" spans="1:8">
      <c r="A5" s="4">
        <v>0</v>
      </c>
      <c r="B5" s="4">
        <v>10</v>
      </c>
      <c r="C5" s="4">
        <v>5</v>
      </c>
      <c r="D5" s="5" t="s">
        <v>5</v>
      </c>
      <c r="E5" s="5"/>
      <c r="F5" s="5"/>
      <c r="G5" s="5"/>
      <c r="H5" s="5"/>
    </row>
    <row r="6" s="1" customFormat="1" spans="1:8">
      <c r="A6" s="4">
        <v>11</v>
      </c>
      <c r="B6" s="4">
        <v>100</v>
      </c>
      <c r="C6" s="4">
        <v>10</v>
      </c>
      <c r="D6" s="5" t="s">
        <v>6</v>
      </c>
      <c r="E6" s="5"/>
      <c r="F6" s="5"/>
      <c r="G6" s="5"/>
      <c r="H6" s="5"/>
    </row>
    <row r="7" s="1" customFormat="1" spans="1:8">
      <c r="A7" s="4">
        <v>101</v>
      </c>
      <c r="B7" s="4">
        <v>1000</v>
      </c>
      <c r="C7" s="4">
        <v>50</v>
      </c>
      <c r="D7" s="5" t="s">
        <v>7</v>
      </c>
      <c r="E7" s="5"/>
      <c r="F7" s="5"/>
      <c r="G7" s="5"/>
      <c r="H7" s="5"/>
    </row>
    <row r="8" s="1" customFormat="1" spans="1:8">
      <c r="A8" s="4">
        <v>1001</v>
      </c>
      <c r="B8" s="4">
        <v>10000</v>
      </c>
      <c r="C8" s="4">
        <v>100</v>
      </c>
      <c r="D8" s="5" t="s">
        <v>8</v>
      </c>
      <c r="E8" s="5"/>
      <c r="F8" s="5"/>
      <c r="G8" s="5"/>
      <c r="H8" s="5"/>
    </row>
    <row r="10" s="1" customFormat="1" spans="1:8">
      <c r="A10" s="1" t="s">
        <v>9</v>
      </c>
    </row>
    <row r="11" s="1" customFormat="1" spans="1:8">
      <c r="A11" s="6" t="s">
        <v>10</v>
      </c>
      <c r="B11" s="6" t="s">
        <v>11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</row>
    <row r="12" s="1" customFormat="1" spans="1:8">
      <c r="A12" s="4" t="s">
        <v>17</v>
      </c>
      <c r="B12" s="14" t="s">
        <v>18</v>
      </c>
      <c r="C12" s="4" t="s">
        <v>19</v>
      </c>
      <c r="D12" s="4" t="s">
        <v>20</v>
      </c>
      <c r="E12" s="4">
        <v>10000</v>
      </c>
      <c r="F12" s="4"/>
      <c r="G12" s="4"/>
    </row>
    <row r="13" s="1" customFormat="1" spans="1:8">
      <c r="A13" s="4" t="s">
        <v>17</v>
      </c>
      <c r="B13" s="14" t="s">
        <v>21</v>
      </c>
      <c r="C13" s="4" t="s">
        <v>22</v>
      </c>
      <c r="D13" s="4" t="s">
        <v>20</v>
      </c>
      <c r="E13" s="4">
        <v>10000</v>
      </c>
      <c r="F13" s="4"/>
      <c r="G13" s="4"/>
    </row>
    <row r="14" s="1" customFormat="1" spans="1:8">
      <c r="A14" s="4" t="s">
        <v>17</v>
      </c>
      <c r="B14" s="14" t="s">
        <v>23</v>
      </c>
      <c r="C14" s="4" t="s">
        <v>24</v>
      </c>
      <c r="D14" s="4" t="s">
        <v>25</v>
      </c>
      <c r="E14" s="4">
        <v>10000</v>
      </c>
      <c r="F14" s="4"/>
      <c r="G14" s="4"/>
    </row>
    <row r="15" s="1" customFormat="1" spans="1:8">
      <c r="A15" s="4" t="s">
        <v>26</v>
      </c>
      <c r="B15" s="14" t="s">
        <v>27</v>
      </c>
      <c r="C15" s="4" t="s">
        <v>19</v>
      </c>
      <c r="D15" s="4" t="s">
        <v>20</v>
      </c>
      <c r="E15" s="4">
        <v>10000</v>
      </c>
      <c r="F15" s="4" t="s">
        <v>28</v>
      </c>
      <c r="G15" s="4">
        <v>10000</v>
      </c>
    </row>
    <row r="16" s="1" customFormat="1" spans="1:8">
      <c r="A16" s="4" t="s">
        <v>26</v>
      </c>
      <c r="B16" s="14" t="s">
        <v>27</v>
      </c>
      <c r="C16" s="4" t="s">
        <v>19</v>
      </c>
      <c r="D16" s="4" t="s">
        <v>20</v>
      </c>
      <c r="E16" s="4">
        <v>10000</v>
      </c>
      <c r="F16" s="4" t="s">
        <v>29</v>
      </c>
      <c r="G16" s="4">
        <v>10000</v>
      </c>
    </row>
    <row r="17" s="1" customFormat="1" spans="1:7">
      <c r="A17" s="4" t="s">
        <v>26</v>
      </c>
      <c r="B17" s="14" t="s">
        <v>27</v>
      </c>
      <c r="C17" s="4" t="s">
        <v>19</v>
      </c>
      <c r="D17" s="4" t="s">
        <v>20</v>
      </c>
      <c r="E17" s="4">
        <v>10000</v>
      </c>
      <c r="F17" s="4" t="s">
        <v>30</v>
      </c>
      <c r="G17" s="4">
        <v>10000</v>
      </c>
    </row>
    <row r="18" s="1" customFormat="1" spans="1:7">
      <c r="A18" s="4" t="s">
        <v>26</v>
      </c>
      <c r="B18" s="14" t="s">
        <v>31</v>
      </c>
      <c r="C18" s="4" t="s">
        <v>22</v>
      </c>
      <c r="D18" s="4" t="s">
        <v>25</v>
      </c>
      <c r="E18" s="4">
        <v>10000</v>
      </c>
      <c r="F18" s="4" t="s">
        <v>32</v>
      </c>
      <c r="G18" s="4">
        <v>10000</v>
      </c>
    </row>
    <row r="19" s="1" customFormat="1" spans="1:7">
      <c r="A19" s="4" t="s">
        <v>26</v>
      </c>
      <c r="B19" s="14" t="s">
        <v>31</v>
      </c>
      <c r="C19" s="4" t="s">
        <v>22</v>
      </c>
      <c r="D19" s="4" t="s">
        <v>25</v>
      </c>
      <c r="E19" s="4">
        <v>10000</v>
      </c>
      <c r="F19" s="4" t="s">
        <v>33</v>
      </c>
      <c r="G19" s="4">
        <v>10000</v>
      </c>
    </row>
    <row r="20" s="1" customFormat="1" spans="1:7">
      <c r="A20" s="4" t="s">
        <v>26</v>
      </c>
      <c r="B20" s="14" t="s">
        <v>31</v>
      </c>
      <c r="C20" s="4" t="s">
        <v>22</v>
      </c>
      <c r="D20" s="4" t="s">
        <v>25</v>
      </c>
      <c r="E20" s="4">
        <v>10000</v>
      </c>
      <c r="F20" s="4" t="s">
        <v>34</v>
      </c>
      <c r="G20" s="4">
        <v>10000</v>
      </c>
    </row>
    <row r="21" s="1" customFormat="1" spans="1:7">
      <c r="A21" s="4" t="s">
        <v>35</v>
      </c>
      <c r="B21" s="4" t="s">
        <v>36</v>
      </c>
      <c r="C21" s="4" t="s">
        <v>19</v>
      </c>
      <c r="D21" s="4" t="s">
        <v>20</v>
      </c>
      <c r="E21" s="4">
        <v>5000</v>
      </c>
      <c r="F21" s="4"/>
      <c r="G21" s="4"/>
    </row>
    <row r="22" s="1" customFormat="1" spans="1:7">
      <c r="A22" s="4" t="s">
        <v>35</v>
      </c>
      <c r="B22" s="4" t="s">
        <v>37</v>
      </c>
      <c r="C22" s="4" t="s">
        <v>22</v>
      </c>
      <c r="D22" s="4" t="s">
        <v>20</v>
      </c>
      <c r="E22" s="4">
        <v>5000</v>
      </c>
      <c r="F22" s="4"/>
      <c r="G22" s="4"/>
    </row>
    <row r="23" s="1" customFormat="1" spans="1:7">
      <c r="A23" s="4" t="s">
        <v>38</v>
      </c>
      <c r="B23" s="4" t="s">
        <v>39</v>
      </c>
      <c r="C23" s="4"/>
      <c r="D23" s="4" t="s">
        <v>20</v>
      </c>
      <c r="E23" s="4"/>
      <c r="F23" s="4" t="s">
        <v>28</v>
      </c>
      <c r="G23" s="4">
        <v>10000</v>
      </c>
    </row>
    <row r="24" s="1" customFormat="1" spans="1:7">
      <c r="A24" s="4" t="s">
        <v>38</v>
      </c>
      <c r="B24" s="4" t="s">
        <v>40</v>
      </c>
      <c r="C24" s="4"/>
      <c r="D24" s="4" t="s">
        <v>20</v>
      </c>
      <c r="E24" s="4"/>
      <c r="F24" s="4" t="s">
        <v>29</v>
      </c>
      <c r="G24" s="4">
        <v>10000</v>
      </c>
    </row>
    <row r="25" s="1" customFormat="1" spans="1:7">
      <c r="A25" s="4" t="s">
        <v>38</v>
      </c>
      <c r="B25" s="4" t="s">
        <v>41</v>
      </c>
      <c r="C25" s="4"/>
      <c r="D25" s="4" t="s">
        <v>20</v>
      </c>
      <c r="E25" s="4"/>
      <c r="F25" s="4" t="s">
        <v>30</v>
      </c>
      <c r="G25" s="4">
        <v>10000</v>
      </c>
    </row>
    <row r="26" s="1" customFormat="1" spans="1:7">
      <c r="A26" s="4" t="s">
        <v>38</v>
      </c>
      <c r="B26" s="4" t="s">
        <v>42</v>
      </c>
      <c r="C26" s="4"/>
      <c r="D26" s="4" t="s">
        <v>20</v>
      </c>
      <c r="E26" s="4"/>
      <c r="F26" s="4" t="s">
        <v>32</v>
      </c>
      <c r="G26" s="4">
        <v>10000</v>
      </c>
    </row>
    <row r="28" s="1" customFormat="1" spans="1:7">
      <c r="A28" s="1" t="s">
        <v>43</v>
      </c>
    </row>
    <row r="29" s="1" customFormat="1" spans="1:7">
      <c r="A29" s="6" t="s">
        <v>12</v>
      </c>
      <c r="B29" s="6" t="s">
        <v>44</v>
      </c>
    </row>
    <row r="30" s="1" customFormat="1" spans="1:7">
      <c r="A30" s="4" t="s">
        <v>19</v>
      </c>
      <c r="B30" s="4">
        <v>555</v>
      </c>
    </row>
    <row r="31" s="1" customFormat="1" spans="1:7">
      <c r="A31" s="4" t="s">
        <v>22</v>
      </c>
      <c r="B31" s="4">
        <v>640</v>
      </c>
    </row>
    <row r="32" s="1" customFormat="1" spans="1:7">
      <c r="A32" s="4" t="s">
        <v>24</v>
      </c>
      <c r="B32" s="4">
        <v>1499</v>
      </c>
    </row>
    <row r="34" s="1" customFormat="1" spans="1:2">
      <c r="A34" s="1" t="s">
        <v>45</v>
      </c>
    </row>
    <row r="35" s="1" customFormat="1" spans="1:2">
      <c r="A35" s="6" t="s">
        <v>12</v>
      </c>
      <c r="B35" s="6" t="s">
        <v>46</v>
      </c>
    </row>
    <row r="36" s="1" customFormat="1" spans="1:2">
      <c r="A36" s="4" t="s">
        <v>28</v>
      </c>
      <c r="B36" s="4">
        <v>130</v>
      </c>
    </row>
    <row r="37" s="1" customFormat="1" spans="1:2">
      <c r="A37" s="4" t="s">
        <v>29</v>
      </c>
      <c r="B37" s="4">
        <v>135</v>
      </c>
    </row>
    <row r="38" s="1" customFormat="1" spans="1:2">
      <c r="A38" s="4" t="s">
        <v>30</v>
      </c>
      <c r="B38" s="4">
        <v>100</v>
      </c>
    </row>
    <row r="39" s="1" customFormat="1" spans="1:2">
      <c r="A39" s="4" t="s">
        <v>32</v>
      </c>
      <c r="B39" s="4">
        <v>150</v>
      </c>
    </row>
    <row r="40" s="1" customFormat="1" spans="1:2">
      <c r="A40" s="4" t="s">
        <v>33</v>
      </c>
      <c r="B40" s="4">
        <v>150</v>
      </c>
    </row>
    <row r="41" s="1" customFormat="1" spans="1:2">
      <c r="A41" s="4" t="s">
        <v>34</v>
      </c>
      <c r="B41" s="4">
        <v>150</v>
      </c>
    </row>
    <row r="43" s="1" customFormat="1" spans="1:2">
      <c r="A43" s="1" t="s">
        <v>47</v>
      </c>
    </row>
    <row r="44" s="1" customFormat="1" spans="1:2">
      <c r="A44" s="6" t="s">
        <v>48</v>
      </c>
      <c r="B44" s="6" t="s">
        <v>49</v>
      </c>
    </row>
    <row r="45" s="1" customFormat="1" spans="1:2">
      <c r="A45" s="4" t="s">
        <v>20</v>
      </c>
      <c r="B45" s="4">
        <v>2000</v>
      </c>
    </row>
    <row r="46" s="1" customFormat="1" spans="1:2">
      <c r="A46" s="4" t="s">
        <v>50</v>
      </c>
      <c r="B46" s="4">
        <v>6000</v>
      </c>
    </row>
    <row r="49" s="1" customFormat="1" spans="1:11">
      <c r="A49" s="1" t="s">
        <v>51</v>
      </c>
    </row>
    <row r="50" s="1" customFormat="1" spans="1:11">
      <c r="A50" s="6" t="s">
        <v>10</v>
      </c>
      <c r="B50" s="6" t="s">
        <v>11</v>
      </c>
      <c r="C50" s="6" t="s">
        <v>12</v>
      </c>
      <c r="D50" s="6" t="s">
        <v>13</v>
      </c>
      <c r="E50" s="7" t="s">
        <v>14</v>
      </c>
      <c r="F50" s="6" t="s">
        <v>15</v>
      </c>
      <c r="G50" s="6" t="s">
        <v>16</v>
      </c>
      <c r="H50" s="6" t="s">
        <v>52</v>
      </c>
      <c r="I50" s="6" t="s">
        <v>53</v>
      </c>
      <c r="K50" s="1" t="s">
        <v>54</v>
      </c>
    </row>
    <row r="51" s="1" customFormat="1" spans="1:11">
      <c r="A51" s="4" t="s">
        <v>17</v>
      </c>
      <c r="B51" s="14" t="s">
        <v>18</v>
      </c>
      <c r="C51" s="4" t="s">
        <v>19</v>
      </c>
      <c r="D51" s="4" t="s">
        <v>20</v>
      </c>
      <c r="E51" s="4">
        <v>10000</v>
      </c>
      <c r="F51" s="4"/>
      <c r="G51" s="4"/>
      <c r="H51" s="8">
        <f t="shared" ref="H51:H53" si="0">E51*B30/10000</f>
        <v>555</v>
      </c>
      <c r="I51" s="9" t="s">
        <v>55</v>
      </c>
      <c r="K51" s="1" t="s">
        <v>56</v>
      </c>
    </row>
    <row r="52" s="1" customFormat="1" spans="1:11">
      <c r="A52" s="4" t="s">
        <v>17</v>
      </c>
      <c r="B52" s="14" t="s">
        <v>21</v>
      </c>
      <c r="C52" s="4" t="s">
        <v>22</v>
      </c>
      <c r="D52" s="4" t="s">
        <v>20</v>
      </c>
      <c r="E52" s="4">
        <v>10000</v>
      </c>
      <c r="F52" s="4"/>
      <c r="G52" s="4"/>
      <c r="H52" s="8">
        <f t="shared" si="0"/>
        <v>640</v>
      </c>
      <c r="I52" s="9" t="s">
        <v>57</v>
      </c>
      <c r="K52" s="1" t="s">
        <v>58</v>
      </c>
    </row>
    <row r="53" s="1" customFormat="1" spans="1:11">
      <c r="A53" s="4" t="s">
        <v>17</v>
      </c>
      <c r="B53" s="14" t="s">
        <v>23</v>
      </c>
      <c r="C53" s="4" t="s">
        <v>24</v>
      </c>
      <c r="D53" s="4" t="s">
        <v>25</v>
      </c>
      <c r="E53" s="4">
        <v>10000</v>
      </c>
      <c r="F53" s="4"/>
      <c r="G53" s="4"/>
      <c r="H53" s="8">
        <f t="shared" si="0"/>
        <v>1499</v>
      </c>
      <c r="I53" s="9" t="s">
        <v>59</v>
      </c>
    </row>
    <row r="54" s="1" customFormat="1" spans="1:11">
      <c r="A54" s="4" t="s">
        <v>26</v>
      </c>
      <c r="B54" s="14" t="s">
        <v>27</v>
      </c>
      <c r="C54" s="4" t="s">
        <v>19</v>
      </c>
      <c r="D54" s="4" t="s">
        <v>20</v>
      </c>
      <c r="E54" s="4"/>
      <c r="F54" s="4" t="s">
        <v>28</v>
      </c>
      <c r="G54" s="4">
        <v>10000</v>
      </c>
      <c r="H54" s="10">
        <f>(B36*G54+B37*G55+B38*G56)/10000</f>
        <v>365</v>
      </c>
      <c r="I54" s="10" t="s">
        <v>60</v>
      </c>
    </row>
    <row r="55" s="1" customFormat="1" spans="1:11">
      <c r="A55" s="4" t="s">
        <v>26</v>
      </c>
      <c r="B55" s="14" t="s">
        <v>27</v>
      </c>
      <c r="C55" s="4" t="s">
        <v>19</v>
      </c>
      <c r="D55" s="4" t="s">
        <v>20</v>
      </c>
      <c r="E55" s="4"/>
      <c r="F55" s="4" t="s">
        <v>29</v>
      </c>
      <c r="G55" s="4">
        <v>10000</v>
      </c>
      <c r="H55" s="11"/>
      <c r="I55" s="11"/>
    </row>
    <row r="56" s="1" customFormat="1" spans="1:11">
      <c r="A56" s="4" t="s">
        <v>26</v>
      </c>
      <c r="B56" s="14" t="s">
        <v>27</v>
      </c>
      <c r="C56" s="4" t="s">
        <v>19</v>
      </c>
      <c r="D56" s="4" t="s">
        <v>20</v>
      </c>
      <c r="E56" s="4"/>
      <c r="F56" s="4" t="s">
        <v>30</v>
      </c>
      <c r="G56" s="4">
        <v>10000</v>
      </c>
      <c r="H56" s="12"/>
      <c r="I56" s="12"/>
    </row>
    <row r="57" s="1" customFormat="1" spans="1:11">
      <c r="A57" s="4" t="s">
        <v>26</v>
      </c>
      <c r="B57" s="14" t="s">
        <v>31</v>
      </c>
      <c r="C57" s="4" t="s">
        <v>22</v>
      </c>
      <c r="D57" s="4" t="s">
        <v>25</v>
      </c>
      <c r="E57" s="4"/>
      <c r="F57" s="4" t="s">
        <v>32</v>
      </c>
      <c r="G57" s="4">
        <v>10000</v>
      </c>
      <c r="H57" s="10">
        <f>(B39*G57+B40*G58+B41*G59)/10000</f>
        <v>450</v>
      </c>
      <c r="I57" s="10" t="s">
        <v>61</v>
      </c>
    </row>
    <row r="58" s="1" customFormat="1" spans="1:11">
      <c r="A58" s="4" t="s">
        <v>26</v>
      </c>
      <c r="B58" s="14" t="s">
        <v>31</v>
      </c>
      <c r="C58" s="4" t="s">
        <v>22</v>
      </c>
      <c r="D58" s="4" t="s">
        <v>25</v>
      </c>
      <c r="E58" s="4"/>
      <c r="F58" s="4" t="s">
        <v>33</v>
      </c>
      <c r="G58" s="4">
        <v>10000</v>
      </c>
      <c r="H58" s="11"/>
      <c r="I58" s="11"/>
    </row>
    <row r="59" s="1" customFormat="1" spans="1:11">
      <c r="A59" s="4" t="s">
        <v>26</v>
      </c>
      <c r="B59" s="14" t="s">
        <v>31</v>
      </c>
      <c r="C59" s="4" t="s">
        <v>22</v>
      </c>
      <c r="D59" s="4" t="s">
        <v>25</v>
      </c>
      <c r="E59" s="4"/>
      <c r="F59" s="4" t="s">
        <v>34</v>
      </c>
      <c r="G59" s="4">
        <v>10000</v>
      </c>
      <c r="H59" s="12"/>
      <c r="I59" s="12"/>
    </row>
    <row r="60" s="1" customFormat="1" spans="1:11">
      <c r="A60" s="4" t="s">
        <v>35</v>
      </c>
      <c r="B60" s="4" t="s">
        <v>36</v>
      </c>
      <c r="C60" s="4" t="s">
        <v>19</v>
      </c>
      <c r="D60" s="4" t="s">
        <v>20</v>
      </c>
      <c r="E60" s="4">
        <v>5000</v>
      </c>
      <c r="F60" s="4"/>
      <c r="G60" s="4"/>
      <c r="H60" s="8">
        <f>B30*E60/10000</f>
        <v>277.5</v>
      </c>
      <c r="I60" s="9" t="s">
        <v>62</v>
      </c>
    </row>
    <row r="61" s="1" customFormat="1" spans="1:11">
      <c r="A61" s="4" t="s">
        <v>35</v>
      </c>
      <c r="B61" s="4" t="s">
        <v>37</v>
      </c>
      <c r="C61" s="4" t="s">
        <v>22</v>
      </c>
      <c r="D61" s="4" t="s">
        <v>20</v>
      </c>
      <c r="E61" s="4">
        <v>5000</v>
      </c>
      <c r="F61" s="4"/>
      <c r="G61" s="4"/>
      <c r="H61" s="8">
        <f>B31*E61/10000</f>
        <v>320</v>
      </c>
      <c r="I61" s="9" t="s">
        <v>63</v>
      </c>
    </row>
    <row r="62" s="1" customFormat="1" spans="1:11">
      <c r="A62" s="4" t="s">
        <v>38</v>
      </c>
      <c r="B62" s="4" t="s">
        <v>39</v>
      </c>
      <c r="C62" s="4"/>
      <c r="D62" s="4" t="s">
        <v>20</v>
      </c>
      <c r="E62" s="4"/>
      <c r="F62" s="4" t="s">
        <v>28</v>
      </c>
      <c r="G62" s="4">
        <v>10000</v>
      </c>
      <c r="H62" s="8">
        <f t="shared" ref="H62:H65" si="1">B36*G62/10000</f>
        <v>130</v>
      </c>
      <c r="I62" s="9" t="s">
        <v>64</v>
      </c>
    </row>
    <row r="63" s="1" customFormat="1" spans="1:11">
      <c r="A63" s="4" t="s">
        <v>38</v>
      </c>
      <c r="B63" s="4" t="s">
        <v>40</v>
      </c>
      <c r="C63" s="4"/>
      <c r="D63" s="4" t="s">
        <v>20</v>
      </c>
      <c r="E63" s="4"/>
      <c r="F63" s="4" t="s">
        <v>29</v>
      </c>
      <c r="G63" s="4">
        <v>10000</v>
      </c>
      <c r="H63" s="8">
        <f t="shared" si="1"/>
        <v>135</v>
      </c>
      <c r="I63" s="9" t="s">
        <v>64</v>
      </c>
    </row>
    <row r="64" s="1" customFormat="1" spans="1:11">
      <c r="A64" s="4" t="s">
        <v>38</v>
      </c>
      <c r="B64" s="4" t="s">
        <v>41</v>
      </c>
      <c r="C64" s="4"/>
      <c r="D64" s="4" t="s">
        <v>20</v>
      </c>
      <c r="E64" s="4"/>
      <c r="F64" s="4" t="s">
        <v>30</v>
      </c>
      <c r="G64" s="4">
        <v>10000</v>
      </c>
      <c r="H64" s="8">
        <f t="shared" si="1"/>
        <v>100</v>
      </c>
      <c r="I64" s="9" t="s">
        <v>65</v>
      </c>
    </row>
    <row r="65" s="1" customFormat="1" spans="1:13">
      <c r="A65" s="4" t="s">
        <v>38</v>
      </c>
      <c r="B65" s="4" t="s">
        <v>42</v>
      </c>
      <c r="C65" s="4"/>
      <c r="D65" s="4" t="s">
        <v>25</v>
      </c>
      <c r="E65" s="4"/>
      <c r="F65" s="4" t="s">
        <v>32</v>
      </c>
      <c r="G65" s="4">
        <v>10000</v>
      </c>
      <c r="H65" s="8">
        <f t="shared" si="1"/>
        <v>150</v>
      </c>
      <c r="I65" s="9" t="s">
        <v>64</v>
      </c>
    </row>
    <row r="71" s="1" customFormat="1" spans="1:13">
      <c r="A71" s="1" t="s">
        <v>66</v>
      </c>
      <c r="J71" s="1" t="s">
        <v>67</v>
      </c>
    </row>
    <row r="72" s="1" customFormat="1" spans="1:13">
      <c r="A72" s="6" t="s">
        <v>10</v>
      </c>
      <c r="B72" s="6" t="s">
        <v>11</v>
      </c>
      <c r="C72" s="6" t="s">
        <v>53</v>
      </c>
      <c r="J72" s="6" t="s">
        <v>13</v>
      </c>
      <c r="K72" s="6" t="s">
        <v>68</v>
      </c>
      <c r="L72" s="6" t="s">
        <v>53</v>
      </c>
      <c r="M72" s="6" t="s">
        <v>69</v>
      </c>
    </row>
    <row r="73" s="1" customFormat="1" spans="1:13">
      <c r="A73" s="4" t="s">
        <v>17</v>
      </c>
      <c r="B73" s="14" t="s">
        <v>18</v>
      </c>
      <c r="C73" s="9" t="s">
        <v>55</v>
      </c>
      <c r="J73" s="4" t="s">
        <v>70</v>
      </c>
      <c r="K73" s="4">
        <f>H54+H62+H63+H64</f>
        <v>730</v>
      </c>
      <c r="L73" s="4" t="s">
        <v>71</v>
      </c>
      <c r="M73" s="13"/>
    </row>
    <row r="74" s="1" customFormat="1" spans="1:13">
      <c r="A74" s="4" t="s">
        <v>17</v>
      </c>
      <c r="B74" s="14" t="s">
        <v>21</v>
      </c>
      <c r="C74" s="9" t="s">
        <v>57</v>
      </c>
      <c r="J74" s="4" t="s">
        <v>72</v>
      </c>
      <c r="K74" s="4">
        <f>H57+H65</f>
        <v>600</v>
      </c>
      <c r="L74" s="4" t="s">
        <v>57</v>
      </c>
      <c r="M74" s="4"/>
    </row>
    <row r="75" s="1" customFormat="1" spans="1:13">
      <c r="A75" s="4" t="s">
        <v>17</v>
      </c>
      <c r="B75" s="14" t="s">
        <v>23</v>
      </c>
      <c r="C75" s="9" t="s">
        <v>59</v>
      </c>
      <c r="J75" s="13" t="s">
        <v>73</v>
      </c>
      <c r="K75" s="13">
        <f>SUM(K73:K74)</f>
        <v>1330</v>
      </c>
      <c r="L75" s="13" t="s">
        <v>74</v>
      </c>
      <c r="M75" s="13"/>
    </row>
    <row r="76" s="1" customFormat="1" spans="1:13">
      <c r="A76" s="4" t="s">
        <v>26</v>
      </c>
      <c r="B76" s="14" t="s">
        <v>27</v>
      </c>
      <c r="C76" s="9" t="s">
        <v>60</v>
      </c>
      <c r="J76" s="4" t="s">
        <v>75</v>
      </c>
      <c r="K76" s="4">
        <f>H51+H52+H54+H60+H61+H62+H63+H64</f>
        <v>2522.5</v>
      </c>
      <c r="L76" s="4" t="s">
        <v>76</v>
      </c>
      <c r="M76" s="13">
        <v>522.5</v>
      </c>
    </row>
    <row r="77" s="1" customFormat="1" spans="1:13">
      <c r="A77" s="4" t="s">
        <v>26</v>
      </c>
      <c r="B77" s="14" t="s">
        <v>31</v>
      </c>
      <c r="C77" s="9" t="s">
        <v>61</v>
      </c>
      <c r="J77" s="4" t="s">
        <v>77</v>
      </c>
      <c r="K77" s="4">
        <f>H53+H57+H65</f>
        <v>2099</v>
      </c>
      <c r="L77" s="4" t="s">
        <v>78</v>
      </c>
      <c r="M77" s="4"/>
    </row>
    <row r="78" s="1" customFormat="1" spans="1:13">
      <c r="A78" s="4" t="s">
        <v>35</v>
      </c>
      <c r="B78" s="4" t="s">
        <v>36</v>
      </c>
      <c r="C78" s="9" t="s">
        <v>62</v>
      </c>
      <c r="J78" s="4" t="s">
        <v>79</v>
      </c>
      <c r="K78" s="4">
        <f>SUM(K76:K77)</f>
        <v>4621.5</v>
      </c>
      <c r="L78" s="4" t="s">
        <v>80</v>
      </c>
      <c r="M78" s="4">
        <v>0</v>
      </c>
    </row>
    <row r="79" s="1" customFormat="1" spans="1:13">
      <c r="A79" s="4" t="s">
        <v>35</v>
      </c>
      <c r="B79" s="4" t="s">
        <v>37</v>
      </c>
      <c r="C79" s="9" t="s">
        <v>63</v>
      </c>
    </row>
    <row r="80" s="1" customFormat="1" spans="1:13">
      <c r="A80" s="4" t="s">
        <v>38</v>
      </c>
      <c r="B80" s="4" t="s">
        <v>39</v>
      </c>
      <c r="C80" s="9" t="s">
        <v>64</v>
      </c>
      <c r="J80" s="1" t="s">
        <v>81</v>
      </c>
    </row>
    <row r="81" s="1" customFormat="1" spans="1:10">
      <c r="A81" s="4" t="s">
        <v>38</v>
      </c>
      <c r="B81" s="4" t="s">
        <v>40</v>
      </c>
      <c r="C81" s="9" t="s">
        <v>64</v>
      </c>
      <c r="J81" s="1" t="s">
        <v>82</v>
      </c>
    </row>
    <row r="82" s="1" customFormat="1" spans="1:10">
      <c r="A82" s="4" t="s">
        <v>38</v>
      </c>
      <c r="B82" s="4" t="s">
        <v>41</v>
      </c>
      <c r="C82" s="9" t="s">
        <v>65</v>
      </c>
      <c r="J82" s="1" t="s">
        <v>83</v>
      </c>
    </row>
    <row r="83" s="1" customFormat="1" spans="1:10">
      <c r="A83" s="4" t="s">
        <v>38</v>
      </c>
      <c r="B83" s="4" t="s">
        <v>42</v>
      </c>
      <c r="C83" s="9" t="s">
        <v>64</v>
      </c>
      <c r="J83" s="1" t="s">
        <v>84</v>
      </c>
    </row>
    <row r="84" s="1" customFormat="1" spans="1:10">
      <c r="J84" s="1" t="s">
        <v>85</v>
      </c>
    </row>
    <row r="85" s="1" customFormat="1" spans="1:10">
      <c r="A85" s="1" t="s">
        <v>86</v>
      </c>
      <c r="J85" s="1" t="s">
        <v>87</v>
      </c>
    </row>
  </sheetData>
  <mergeCells count="9">
    <mergeCell ref="D4:H4"/>
    <mergeCell ref="D5:H5"/>
    <mergeCell ref="D6:H6"/>
    <mergeCell ref="D7:H7"/>
    <mergeCell ref="D8:H8"/>
    <mergeCell ref="H54:H56"/>
    <mergeCell ref="H57:H59"/>
    <mergeCell ref="I54:I56"/>
    <mergeCell ref="I57:I5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张永韬</dc:creator>
  <cp:lastModifiedBy>张永韬</cp:lastModifiedBy>
  <dcterms:created xsi:type="dcterms:W3CDTF">2023-05-12T11:15:00Z</dcterms:created>
  <dcterms:modified xsi:type="dcterms:W3CDTF">2025-12-22T03:25:13Z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D30BC6B33FBC4F689BA156DC66279629_12</vt:lpwstr>
  </property>
</Properties>
</file>